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rinchakraborti/UIC/research/papers/private-content-moderation/plots/"/>
    </mc:Choice>
  </mc:AlternateContent>
  <xr:revisionPtr revIDLastSave="0" documentId="13_ncr:1_{921E3753-2958-2D4A-ACA7-9C5B0D341BEF}" xr6:coauthVersionLast="47" xr6:coauthVersionMax="47" xr10:uidLastSave="{00000000-0000-0000-0000-000000000000}"/>
  <bookViews>
    <workbookView xWindow="3600" yWindow="880" windowWidth="55940" windowHeight="38600" activeTab="2" xr2:uid="{94CF1311-9CF9-864E-85B7-C109D8234C47}"/>
  </bookViews>
  <sheets>
    <sheet name="exact_match_pre" sheetId="1" r:id="rId1"/>
    <sheet name="exact_match_storage" sheetId="14" r:id="rId2"/>
    <sheet name="exact_match_comm" sheetId="15" r:id="rId3"/>
    <sheet name="Sheet2" sheetId="13" r:id="rId4"/>
    <sheet name="approx_match_10" sheetId="5" r:id="rId5"/>
    <sheet name="approx_match_30" sheetId="8" r:id="rId6"/>
    <sheet name="approx_match_50" sheetId="7" r:id="rId7"/>
    <sheet name="approx_match_20" sheetId="6" r:id="rId8"/>
    <sheet name="Sheet1" sheetId="12" r:id="rId9"/>
    <sheet name="approx_match_40" sheetId="4" r:id="rId10"/>
    <sheet name="approx_preprocess" sheetId="11" r:id="rId11"/>
    <sheet name="approx_match_pre" sheetId="3" r:id="rId12"/>
    <sheet name="approx_match_nopre_20" sheetId="10" r:id="rId13"/>
    <sheet name="approx_match_nopre_10" sheetId="9" r:id="rId14"/>
    <sheet name="exact_match_nopre" sheetId="2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5" l="1"/>
  <c r="I4" i="15"/>
  <c r="I5" i="15"/>
  <c r="I6" i="15"/>
  <c r="I7" i="15"/>
  <c r="I8" i="15"/>
  <c r="I9" i="15"/>
  <c r="I10" i="15"/>
  <c r="I11" i="15"/>
  <c r="I12" i="15"/>
  <c r="I2" i="15"/>
  <c r="W3" i="6"/>
  <c r="W4" i="6"/>
  <c r="W5" i="6"/>
  <c r="W2" i="6"/>
  <c r="Q3" i="1"/>
  <c r="Q4" i="1"/>
  <c r="Q5" i="1"/>
  <c r="Q6" i="1"/>
  <c r="Q7" i="1"/>
  <c r="Q8" i="1"/>
  <c r="Q9" i="1"/>
  <c r="Q10" i="1"/>
  <c r="Q11" i="1"/>
  <c r="Q12" i="1"/>
  <c r="Q2" i="1"/>
  <c r="V3" i="6"/>
  <c r="V4" i="6"/>
  <c r="V5" i="6"/>
  <c r="V2" i="6"/>
  <c r="U3" i="6"/>
  <c r="U4" i="6"/>
  <c r="U5" i="6"/>
  <c r="U2" i="6"/>
  <c r="T3" i="6"/>
  <c r="T4" i="6"/>
  <c r="T5" i="6"/>
  <c r="T2" i="6"/>
  <c r="S3" i="6"/>
  <c r="S4" i="6"/>
  <c r="S5" i="6"/>
  <c r="S2" i="6"/>
  <c r="R3" i="6"/>
  <c r="R4" i="6"/>
  <c r="R5" i="6"/>
  <c r="R2" i="6"/>
  <c r="L9" i="15"/>
  <c r="L10" i="15"/>
  <c r="L11" i="15"/>
  <c r="L12" i="15"/>
  <c r="L8" i="15"/>
  <c r="D9" i="15"/>
  <c r="E9" i="15" s="1"/>
  <c r="D10" i="15"/>
  <c r="E10" i="15" s="1"/>
  <c r="D11" i="15"/>
  <c r="E11" i="15" s="1"/>
  <c r="D12" i="15"/>
  <c r="E12" i="15" s="1"/>
  <c r="B12" i="15"/>
  <c r="B11" i="15"/>
  <c r="B10" i="15"/>
  <c r="B9" i="15"/>
  <c r="D3" i="15"/>
  <c r="E3" i="15" s="1"/>
  <c r="D4" i="15"/>
  <c r="E4" i="15" s="1"/>
  <c r="D5" i="15"/>
  <c r="E5" i="15" s="1"/>
  <c r="D6" i="15"/>
  <c r="E6" i="15" s="1"/>
  <c r="D7" i="15"/>
  <c r="E7" i="15" s="1"/>
  <c r="D8" i="15"/>
  <c r="E8" i="15" s="1"/>
  <c r="D2" i="15"/>
  <c r="E2" i="15" s="1"/>
  <c r="F2" i="1"/>
  <c r="O3" i="8"/>
  <c r="O4" i="8"/>
  <c r="O5" i="8"/>
  <c r="O2" i="8"/>
  <c r="P2" i="8" s="1"/>
  <c r="O3" i="6"/>
  <c r="O4" i="6"/>
  <c r="O5" i="6"/>
  <c r="O2" i="6"/>
  <c r="O3" i="4"/>
  <c r="O4" i="4"/>
  <c r="O5" i="4"/>
  <c r="O2" i="4"/>
  <c r="P3" i="4"/>
  <c r="P4" i="4"/>
  <c r="P5" i="4"/>
  <c r="P2" i="4"/>
  <c r="P3" i="8"/>
  <c r="P4" i="8"/>
  <c r="P5" i="8"/>
  <c r="P3" i="6"/>
  <c r="P4" i="6"/>
  <c r="P5" i="6"/>
  <c r="P2" i="6"/>
  <c r="B8" i="15"/>
  <c r="B7" i="15"/>
  <c r="B6" i="15"/>
  <c r="B5" i="15"/>
  <c r="B4" i="15"/>
  <c r="B3" i="15"/>
  <c r="B2" i="15"/>
  <c r="O2" i="5"/>
  <c r="O3" i="5"/>
  <c r="O4" i="5"/>
  <c r="O5" i="5"/>
  <c r="B8" i="14"/>
  <c r="B7" i="14"/>
  <c r="B6" i="14"/>
  <c r="B5" i="14"/>
  <c r="B4" i="14"/>
  <c r="B3" i="14"/>
  <c r="B2" i="14"/>
  <c r="AE3" i="1"/>
  <c r="AE4" i="1"/>
  <c r="AE5" i="1"/>
  <c r="AE6" i="1"/>
  <c r="AE7" i="1"/>
  <c r="AE8" i="1"/>
  <c r="AE9" i="1"/>
  <c r="AE10" i="1"/>
  <c r="AE11" i="1"/>
  <c r="AE12" i="1"/>
  <c r="AE2" i="1"/>
  <c r="B3" i="12"/>
  <c r="B4" i="12"/>
  <c r="B5" i="12"/>
  <c r="B2" i="12"/>
  <c r="G3" i="6"/>
  <c r="G4" i="6"/>
  <c r="G5" i="6"/>
  <c r="G2" i="6"/>
  <c r="G3" i="8"/>
  <c r="G4" i="8"/>
  <c r="G5" i="8"/>
  <c r="G2" i="8"/>
  <c r="G3" i="4"/>
  <c r="G4" i="4"/>
  <c r="G5" i="4"/>
  <c r="G2" i="4"/>
  <c r="G2" i="7"/>
  <c r="G3" i="7"/>
  <c r="G4" i="7"/>
  <c r="G5" i="7"/>
  <c r="G2" i="5"/>
  <c r="G3" i="5"/>
  <c r="G4" i="5"/>
  <c r="G5" i="5"/>
  <c r="I3" i="5"/>
  <c r="I4" i="5"/>
  <c r="I5" i="5"/>
  <c r="I2" i="5"/>
  <c r="I3" i="4"/>
  <c r="I4" i="4"/>
  <c r="I5" i="4"/>
  <c r="I2" i="4"/>
  <c r="I3" i="8"/>
  <c r="I4" i="8"/>
  <c r="I5" i="8"/>
  <c r="I2" i="8"/>
  <c r="I3" i="6"/>
  <c r="I4" i="6"/>
  <c r="I5" i="6"/>
  <c r="I2" i="6"/>
  <c r="I3" i="7"/>
  <c r="I4" i="7"/>
  <c r="I5" i="7"/>
  <c r="I2" i="7"/>
  <c r="D2" i="10"/>
  <c r="B7" i="2"/>
  <c r="B8" i="2"/>
  <c r="B9" i="2"/>
  <c r="B10" i="2"/>
  <c r="B11" i="2"/>
  <c r="B12" i="2"/>
  <c r="B13" i="2"/>
  <c r="B14" i="2"/>
  <c r="B15" i="2"/>
  <c r="B16" i="2"/>
  <c r="B17" i="2"/>
  <c r="D9" i="2"/>
  <c r="E9" i="2"/>
  <c r="G9" i="2"/>
  <c r="D12" i="2"/>
  <c r="E12" i="2"/>
  <c r="G12" i="2"/>
  <c r="D15" i="2"/>
  <c r="E15" i="2"/>
  <c r="G15" i="2"/>
  <c r="D16" i="2"/>
  <c r="E16" i="2"/>
  <c r="G16" i="2"/>
  <c r="D17" i="2"/>
  <c r="E17" i="2"/>
  <c r="G17" i="2"/>
  <c r="D10" i="2"/>
  <c r="E10" i="2"/>
  <c r="G10" i="2"/>
  <c r="B6" i="2"/>
  <c r="B2" i="1"/>
  <c r="B3" i="2"/>
  <c r="B4" i="2"/>
  <c r="B5" i="2"/>
  <c r="B2" i="2"/>
  <c r="B3" i="1"/>
  <c r="B4" i="1"/>
  <c r="B5" i="1"/>
  <c r="B6" i="1"/>
  <c r="B7" i="1"/>
  <c r="B8" i="1"/>
  <c r="B9" i="1"/>
  <c r="B10" i="1"/>
  <c r="B11" i="1"/>
  <c r="B12" i="1"/>
  <c r="G2" i="1"/>
  <c r="J2" i="1" s="1"/>
  <c r="F3" i="1"/>
  <c r="J3" i="1" s="1"/>
  <c r="P3" i="1" s="1"/>
  <c r="F4" i="1"/>
  <c r="J4" i="1" s="1"/>
  <c r="P4" i="1" s="1"/>
  <c r="F5" i="1"/>
  <c r="J5" i="1" s="1"/>
  <c r="P5" i="1" s="1"/>
  <c r="F6" i="1"/>
  <c r="J6" i="1" s="1"/>
  <c r="P6" i="1" s="1"/>
  <c r="F7" i="1"/>
  <c r="J7" i="1" s="1"/>
  <c r="P7" i="1" s="1"/>
  <c r="F8" i="1"/>
  <c r="J8" i="1" s="1"/>
  <c r="P8" i="1" s="1"/>
  <c r="F9" i="1"/>
  <c r="J9" i="1" s="1"/>
  <c r="P9" i="1" s="1"/>
  <c r="F10" i="1"/>
  <c r="J10" i="1" s="1"/>
  <c r="P10" i="1" s="1"/>
  <c r="F11" i="1"/>
  <c r="J11" i="1" s="1"/>
  <c r="P11" i="1" s="1"/>
  <c r="F12" i="1"/>
  <c r="J12" i="1" s="1"/>
  <c r="P12" i="1" s="1"/>
  <c r="B3" i="11"/>
  <c r="B4" i="11"/>
  <c r="B5" i="11"/>
  <c r="B2" i="11"/>
  <c r="E3" i="9"/>
  <c r="E2" i="9"/>
  <c r="D3" i="9"/>
  <c r="D2" i="9"/>
  <c r="E3" i="10"/>
  <c r="E2" i="10"/>
  <c r="D3" i="10"/>
  <c r="J2" i="8"/>
  <c r="J3" i="8"/>
  <c r="J4" i="8"/>
  <c r="J5" i="8"/>
  <c r="N5" i="8"/>
  <c r="N3" i="8"/>
  <c r="N4" i="8"/>
  <c r="N2" i="8"/>
  <c r="N3" i="7"/>
  <c r="N4" i="7"/>
  <c r="N5" i="7"/>
  <c r="J5" i="7" s="1"/>
  <c r="N2" i="7"/>
  <c r="N3" i="6"/>
  <c r="J3" i="6" s="1"/>
  <c r="N4" i="6"/>
  <c r="J4" i="6" s="1"/>
  <c r="N5" i="6"/>
  <c r="J5" i="6" s="1"/>
  <c r="N2" i="6"/>
  <c r="J2" i="6" s="1"/>
  <c r="N3" i="4"/>
  <c r="J3" i="4" s="1"/>
  <c r="N4" i="4"/>
  <c r="J4" i="4" s="1"/>
  <c r="N5" i="4"/>
  <c r="J5" i="4" s="1"/>
  <c r="N2" i="4"/>
  <c r="J2" i="4" s="1"/>
  <c r="J4" i="5"/>
  <c r="N3" i="5"/>
  <c r="J3" i="5" s="1"/>
  <c r="N4" i="5"/>
  <c r="N5" i="5"/>
  <c r="J5" i="5" s="1"/>
  <c r="N2" i="5"/>
  <c r="J2" i="5" s="1"/>
  <c r="O3" i="7"/>
  <c r="O4" i="7"/>
  <c r="O5" i="7"/>
  <c r="O2" i="7"/>
  <c r="J3" i="7"/>
  <c r="J4" i="7"/>
  <c r="J2" i="7"/>
  <c r="B5" i="8"/>
  <c r="K5" i="8" s="1"/>
  <c r="L5" i="8" s="1"/>
  <c r="M5" i="8" s="1"/>
  <c r="B4" i="8"/>
  <c r="C4" i="8" s="1"/>
  <c r="B3" i="8"/>
  <c r="C3" i="8" s="1"/>
  <c r="B2" i="8"/>
  <c r="K2" i="8" s="1"/>
  <c r="L2" i="8" s="1"/>
  <c r="M2" i="8" s="1"/>
  <c r="C5" i="6"/>
  <c r="B5" i="7"/>
  <c r="K5" i="7" s="1"/>
  <c r="L5" i="7" s="1"/>
  <c r="M5" i="7" s="1"/>
  <c r="B4" i="7"/>
  <c r="K4" i="7" s="1"/>
  <c r="L4" i="7" s="1"/>
  <c r="M4" i="7" s="1"/>
  <c r="B3" i="7"/>
  <c r="K3" i="7" s="1"/>
  <c r="L3" i="7" s="1"/>
  <c r="M3" i="7" s="1"/>
  <c r="B2" i="7"/>
  <c r="K2" i="7" s="1"/>
  <c r="L2" i="7" s="1"/>
  <c r="M2" i="7" s="1"/>
  <c r="B5" i="6"/>
  <c r="K5" i="6" s="1"/>
  <c r="L5" i="6" s="1"/>
  <c r="M5" i="6" s="1"/>
  <c r="B4" i="6"/>
  <c r="K4" i="6" s="1"/>
  <c r="L4" i="6" s="1"/>
  <c r="M4" i="6" s="1"/>
  <c r="B3" i="6"/>
  <c r="K3" i="6" s="1"/>
  <c r="L3" i="6" s="1"/>
  <c r="M3" i="6" s="1"/>
  <c r="B2" i="6"/>
  <c r="K2" i="6" s="1"/>
  <c r="L2" i="6" s="1"/>
  <c r="M2" i="6" s="1"/>
  <c r="B5" i="5"/>
  <c r="K5" i="5" s="1"/>
  <c r="L5" i="5" s="1"/>
  <c r="M5" i="5" s="1"/>
  <c r="B4" i="5"/>
  <c r="C4" i="5" s="1"/>
  <c r="B3" i="5"/>
  <c r="K3" i="5" s="1"/>
  <c r="L3" i="5" s="1"/>
  <c r="M3" i="5" s="1"/>
  <c r="B2" i="5"/>
  <c r="K2" i="5" s="1"/>
  <c r="L2" i="5" s="1"/>
  <c r="M2" i="5" s="1"/>
  <c r="B5" i="4"/>
  <c r="K5" i="4" s="1"/>
  <c r="L5" i="4" s="1"/>
  <c r="M5" i="4" s="1"/>
  <c r="B4" i="4"/>
  <c r="K4" i="4" s="1"/>
  <c r="L4" i="4" s="1"/>
  <c r="M4" i="4" s="1"/>
  <c r="B3" i="4"/>
  <c r="K3" i="4" s="1"/>
  <c r="L3" i="4" s="1"/>
  <c r="M3" i="4" s="1"/>
  <c r="B2" i="4"/>
  <c r="C2" i="4" s="1"/>
  <c r="N13" i="3"/>
  <c r="N14" i="3"/>
  <c r="N15" i="3"/>
  <c r="N12" i="3"/>
  <c r="I9" i="3"/>
  <c r="I10" i="3"/>
  <c r="I11" i="3"/>
  <c r="I12" i="3"/>
  <c r="I13" i="3"/>
  <c r="I14" i="3"/>
  <c r="I15" i="3"/>
  <c r="J12" i="3"/>
  <c r="K12" i="3" s="1"/>
  <c r="L12" i="3" s="1"/>
  <c r="J13" i="3"/>
  <c r="K13" i="3" s="1"/>
  <c r="L13" i="3" s="1"/>
  <c r="J14" i="3"/>
  <c r="K14" i="3" s="1"/>
  <c r="L14" i="3" s="1"/>
  <c r="B9" i="3"/>
  <c r="J9" i="3" s="1"/>
  <c r="K9" i="3" s="1"/>
  <c r="L9" i="3" s="1"/>
  <c r="B10" i="3"/>
  <c r="J10" i="3" s="1"/>
  <c r="K10" i="3" s="1"/>
  <c r="L10" i="3" s="1"/>
  <c r="B11" i="3"/>
  <c r="J11" i="3" s="1"/>
  <c r="K11" i="3" s="1"/>
  <c r="L11" i="3" s="1"/>
  <c r="B12" i="3"/>
  <c r="B13" i="3"/>
  <c r="B14" i="3"/>
  <c r="B15" i="3"/>
  <c r="J15" i="3" s="1"/>
  <c r="K15" i="3" s="1"/>
  <c r="L15" i="3" s="1"/>
  <c r="B22" i="3"/>
  <c r="J22" i="3" s="1"/>
  <c r="K22" i="3" s="1"/>
  <c r="L22" i="3" s="1"/>
  <c r="B21" i="3"/>
  <c r="J21" i="3" s="1"/>
  <c r="K21" i="3" s="1"/>
  <c r="L21" i="3" s="1"/>
  <c r="B20" i="3"/>
  <c r="J20" i="3"/>
  <c r="K20" i="3" s="1"/>
  <c r="L20" i="3" s="1"/>
  <c r="B3" i="3"/>
  <c r="J3" i="3" s="1"/>
  <c r="K3" i="3" s="1"/>
  <c r="L3" i="3" s="1"/>
  <c r="B4" i="3"/>
  <c r="J4" i="3" s="1"/>
  <c r="K4" i="3" s="1"/>
  <c r="L4" i="3" s="1"/>
  <c r="B5" i="3"/>
  <c r="J5" i="3" s="1"/>
  <c r="K5" i="3" s="1"/>
  <c r="L5" i="3" s="1"/>
  <c r="B6" i="3"/>
  <c r="J6" i="3" s="1"/>
  <c r="K6" i="3" s="1"/>
  <c r="L6" i="3" s="1"/>
  <c r="B7" i="3"/>
  <c r="J7" i="3" s="1"/>
  <c r="K7" i="3" s="1"/>
  <c r="L7" i="3" s="1"/>
  <c r="B8" i="3"/>
  <c r="J8" i="3" s="1"/>
  <c r="K8" i="3" s="1"/>
  <c r="L8" i="3" s="1"/>
  <c r="B16" i="3"/>
  <c r="J16" i="3" s="1"/>
  <c r="K16" i="3" s="1"/>
  <c r="L16" i="3" s="1"/>
  <c r="B17" i="3"/>
  <c r="J17" i="3" s="1"/>
  <c r="K17" i="3" s="1"/>
  <c r="L17" i="3" s="1"/>
  <c r="B18" i="3"/>
  <c r="J18" i="3" s="1"/>
  <c r="K18" i="3" s="1"/>
  <c r="L18" i="3" s="1"/>
  <c r="B19" i="3"/>
  <c r="J19" i="3" s="1"/>
  <c r="K19" i="3" s="1"/>
  <c r="L19" i="3" s="1"/>
  <c r="B23" i="3"/>
  <c r="J23" i="3" s="1"/>
  <c r="K23" i="3" s="1"/>
  <c r="L23" i="3" s="1"/>
  <c r="B24" i="3"/>
  <c r="J24" i="3" s="1"/>
  <c r="K24" i="3" s="1"/>
  <c r="L24" i="3" s="1"/>
  <c r="B25" i="3"/>
  <c r="J25" i="3" s="1"/>
  <c r="K25" i="3" s="1"/>
  <c r="L25" i="3" s="1"/>
  <c r="B26" i="3"/>
  <c r="J26" i="3" s="1"/>
  <c r="K26" i="3" s="1"/>
  <c r="L26" i="3" s="1"/>
  <c r="B2" i="3"/>
  <c r="J2" i="3" s="1"/>
  <c r="K2" i="3" s="1"/>
  <c r="L2" i="3" s="1"/>
  <c r="I3" i="3"/>
  <c r="I4" i="3"/>
  <c r="I5" i="3"/>
  <c r="I6" i="3"/>
  <c r="I7" i="3"/>
  <c r="I8" i="3"/>
  <c r="I16" i="3"/>
  <c r="I17" i="3"/>
  <c r="I18" i="3"/>
  <c r="I19" i="3"/>
  <c r="I23" i="3"/>
  <c r="I24" i="3"/>
  <c r="I25" i="3"/>
  <c r="I26" i="3"/>
  <c r="I2" i="3"/>
  <c r="AF3" i="1"/>
  <c r="AG3" i="1" s="1"/>
  <c r="AF4" i="1"/>
  <c r="AG4" i="1" s="1"/>
  <c r="AF5" i="1"/>
  <c r="AG5" i="1" s="1"/>
  <c r="AF6" i="1"/>
  <c r="AG6" i="1" s="1"/>
  <c r="AF7" i="1"/>
  <c r="AG7" i="1" s="1"/>
  <c r="AF8" i="1"/>
  <c r="AG8" i="1" s="1"/>
  <c r="AF9" i="1"/>
  <c r="AG9" i="1" s="1"/>
  <c r="AF10" i="1"/>
  <c r="AG10" i="1" s="1"/>
  <c r="AF11" i="1"/>
  <c r="AG11" i="1" s="1"/>
  <c r="AF12" i="1"/>
  <c r="AG12" i="1" s="1"/>
  <c r="AF2" i="1"/>
  <c r="AG2" i="1" s="1"/>
  <c r="V9" i="1"/>
  <c r="V10" i="1"/>
  <c r="V11" i="1"/>
  <c r="V12" i="1"/>
  <c r="V8" i="1"/>
  <c r="G7" i="2"/>
  <c r="G8" i="2"/>
  <c r="G11" i="2"/>
  <c r="G13" i="2"/>
  <c r="G14" i="2"/>
  <c r="G6" i="2"/>
  <c r="D7" i="2"/>
  <c r="D8" i="2"/>
  <c r="D11" i="2"/>
  <c r="D13" i="2"/>
  <c r="D14" i="2"/>
  <c r="D6" i="2"/>
  <c r="AB3" i="1"/>
  <c r="AD3" i="1" s="1"/>
  <c r="AB4" i="1"/>
  <c r="AD4" i="1" s="1"/>
  <c r="AB5" i="1"/>
  <c r="AD5" i="1" s="1"/>
  <c r="AB6" i="1"/>
  <c r="AD6" i="1" s="1"/>
  <c r="AB7" i="1"/>
  <c r="AD7" i="1" s="1"/>
  <c r="AB8" i="1"/>
  <c r="AD8" i="1" s="1"/>
  <c r="AB9" i="1"/>
  <c r="AD9" i="1" s="1"/>
  <c r="AB10" i="1"/>
  <c r="AD10" i="1" s="1"/>
  <c r="AB11" i="1"/>
  <c r="AD11" i="1" s="1"/>
  <c r="AB12" i="1"/>
  <c r="AD12" i="1" s="1"/>
  <c r="AB2" i="1"/>
  <c r="W12" i="1"/>
  <c r="X12" i="1" s="1"/>
  <c r="E7" i="2"/>
  <c r="E8" i="2"/>
  <c r="E11" i="2"/>
  <c r="E13" i="2"/>
  <c r="E14" i="2"/>
  <c r="E6" i="2"/>
  <c r="W9" i="1"/>
  <c r="X9" i="1" s="1"/>
  <c r="W10" i="1"/>
  <c r="X10" i="1" s="1"/>
  <c r="W11" i="1"/>
  <c r="X11" i="1" s="1"/>
  <c r="W8" i="1"/>
  <c r="X8" i="1" s="1"/>
  <c r="F9" i="15" l="1"/>
  <c r="G9" i="15"/>
  <c r="H9" i="15"/>
  <c r="J9" i="15"/>
  <c r="K9" i="15"/>
  <c r="F10" i="15"/>
  <c r="G10" i="15"/>
  <c r="H10" i="15"/>
  <c r="J10" i="15"/>
  <c r="K10" i="15"/>
  <c r="F11" i="15"/>
  <c r="G11" i="15"/>
  <c r="H11" i="15"/>
  <c r="J11" i="15"/>
  <c r="K11" i="15"/>
  <c r="F12" i="15"/>
  <c r="G12" i="15"/>
  <c r="H12" i="15"/>
  <c r="J12" i="15"/>
  <c r="K12" i="15"/>
  <c r="H3" i="15"/>
  <c r="J3" i="15"/>
  <c r="H4" i="15"/>
  <c r="J4" i="15"/>
  <c r="H5" i="15"/>
  <c r="J5" i="15"/>
  <c r="H6" i="15"/>
  <c r="J6" i="15"/>
  <c r="H7" i="15"/>
  <c r="J7" i="15"/>
  <c r="H8" i="15"/>
  <c r="J8" i="15"/>
  <c r="H2" i="15"/>
  <c r="J2" i="15"/>
  <c r="F3" i="15"/>
  <c r="G3" i="15"/>
  <c r="K3" i="15"/>
  <c r="F4" i="15"/>
  <c r="G4" i="15"/>
  <c r="K4" i="15"/>
  <c r="F5" i="15"/>
  <c r="G5" i="15"/>
  <c r="K5" i="15"/>
  <c r="F6" i="15"/>
  <c r="G6" i="15"/>
  <c r="K6" i="15"/>
  <c r="F7" i="15"/>
  <c r="G7" i="15"/>
  <c r="K7" i="15"/>
  <c r="F8" i="15"/>
  <c r="G8" i="15"/>
  <c r="K8" i="15"/>
  <c r="F2" i="15"/>
  <c r="G2" i="15"/>
  <c r="K2" i="15"/>
  <c r="O3" i="1"/>
  <c r="O5" i="1"/>
  <c r="O6" i="1"/>
  <c r="O7" i="1"/>
  <c r="O9" i="1"/>
  <c r="O11" i="1"/>
  <c r="O4" i="1"/>
  <c r="O8" i="1"/>
  <c r="O10" i="1"/>
  <c r="O12" i="1"/>
  <c r="P2" i="1"/>
  <c r="O2" i="1"/>
  <c r="R7" i="1"/>
  <c r="R10" i="1"/>
  <c r="R8" i="1"/>
  <c r="R9" i="1"/>
  <c r="R11" i="1"/>
  <c r="R6" i="1"/>
  <c r="R3" i="1"/>
  <c r="R4" i="1"/>
  <c r="L8" i="1"/>
  <c r="L9" i="1"/>
  <c r="L10" i="1"/>
  <c r="L11" i="1"/>
  <c r="L12" i="1"/>
  <c r="L6" i="1"/>
  <c r="L7" i="1"/>
  <c r="L3" i="1"/>
  <c r="L4" i="1"/>
  <c r="M8" i="1"/>
  <c r="K8" i="1"/>
  <c r="M9" i="1"/>
  <c r="K9" i="1"/>
  <c r="M10" i="1"/>
  <c r="K10" i="1"/>
  <c r="M11" i="1"/>
  <c r="K11" i="1"/>
  <c r="M12" i="1"/>
  <c r="K12" i="1"/>
  <c r="M6" i="1"/>
  <c r="K6" i="1"/>
  <c r="M7" i="1"/>
  <c r="K7" i="1"/>
  <c r="M3" i="1"/>
  <c r="K3" i="1"/>
  <c r="M4" i="1"/>
  <c r="K4" i="1"/>
  <c r="N9" i="1"/>
  <c r="N10" i="1"/>
  <c r="N11" i="1"/>
  <c r="N6" i="1"/>
  <c r="N3" i="1"/>
  <c r="N8" i="1"/>
  <c r="N7" i="1"/>
  <c r="N4" i="1"/>
  <c r="R12" i="1"/>
  <c r="N12" i="1"/>
  <c r="AD2" i="1"/>
  <c r="C2" i="6"/>
  <c r="C3" i="6"/>
  <c r="C4" i="6"/>
  <c r="K4" i="8"/>
  <c r="L4" i="8" s="1"/>
  <c r="M4" i="8" s="1"/>
  <c r="C5" i="8"/>
  <c r="K2" i="4"/>
  <c r="L2" i="4" s="1"/>
  <c r="M2" i="4" s="1"/>
  <c r="C5" i="4"/>
  <c r="C4" i="4"/>
  <c r="C3" i="4"/>
  <c r="C2" i="7"/>
  <c r="C4" i="7"/>
  <c r="C5" i="7"/>
  <c r="C3" i="7"/>
  <c r="C2" i="5"/>
  <c r="C3" i="5"/>
  <c r="K4" i="5"/>
  <c r="L4" i="5" s="1"/>
  <c r="M4" i="5" s="1"/>
  <c r="C5" i="5"/>
  <c r="K3" i="8"/>
  <c r="L3" i="8" s="1"/>
  <c r="M3" i="8" s="1"/>
  <c r="C2" i="8"/>
  <c r="M2" i="1" l="1"/>
  <c r="K2" i="1"/>
  <c r="M5" i="1"/>
  <c r="K5" i="1"/>
  <c r="L2" i="1"/>
  <c r="L5" i="1"/>
  <c r="R2" i="1"/>
  <c r="N2" i="1"/>
  <c r="R5" i="1"/>
  <c r="N5" i="1"/>
</calcChain>
</file>

<file path=xl/sharedStrings.xml><?xml version="1.0" encoding="utf-8"?>
<sst xmlns="http://schemas.openxmlformats.org/spreadsheetml/2006/main" count="171" uniqueCount="75">
  <si>
    <t>DB size</t>
  </si>
  <si>
    <t>auditor preprocess time</t>
  </si>
  <si>
    <t>client preprocess time</t>
  </si>
  <si>
    <t>server preprocess time</t>
  </si>
  <si>
    <t>storage cost</t>
  </si>
  <si>
    <t>server query time</t>
  </si>
  <si>
    <t>DB size logscale</t>
  </si>
  <si>
    <t>PHM throughput</t>
  </si>
  <si>
    <t>PHM throughput logscale</t>
  </si>
  <si>
    <t>Client throughput</t>
  </si>
  <si>
    <t>Client preprocess time</t>
  </si>
  <si>
    <t>Query time</t>
  </si>
  <si>
    <t>storage</t>
  </si>
  <si>
    <t>PHM comm</t>
  </si>
  <si>
    <t>comm query</t>
  </si>
  <si>
    <t>comm preprocess</t>
  </si>
  <si>
    <t>amortized comm</t>
  </si>
  <si>
    <t>Server Query throughput</t>
  </si>
  <si>
    <t>Server compute time</t>
  </si>
  <si>
    <t>Client compute time</t>
  </si>
  <si>
    <t>Server compute log scale</t>
  </si>
  <si>
    <t>Client compute log scale</t>
  </si>
  <si>
    <t>PHM log scale</t>
  </si>
  <si>
    <t>client comput time</t>
  </si>
  <si>
    <t>client compute time log scale</t>
  </si>
  <si>
    <t>DB size log scale</t>
  </si>
  <si>
    <t>server DHF time</t>
  </si>
  <si>
    <t>client DHF time</t>
  </si>
  <si>
    <t>Query time log scale</t>
  </si>
  <si>
    <t xml:space="preserve">PHM </t>
  </si>
  <si>
    <t>Value of Q</t>
  </si>
  <si>
    <t>DB size (log 2)</t>
  </si>
  <si>
    <t>Number of projections</t>
  </si>
  <si>
    <t>FNR</t>
  </si>
  <si>
    <t>FNR percent</t>
  </si>
  <si>
    <t>query time log scale</t>
  </si>
  <si>
    <t>comm.</t>
  </si>
  <si>
    <t>total query time</t>
  </si>
  <si>
    <t>Client time</t>
  </si>
  <si>
    <t>Server time</t>
  </si>
  <si>
    <t>client query time</t>
  </si>
  <si>
    <t>server sig verification time</t>
  </si>
  <si>
    <t>client sig compute time</t>
  </si>
  <si>
    <t>PHM query time</t>
  </si>
  <si>
    <t>PHM sig time</t>
  </si>
  <si>
    <t>server total time</t>
  </si>
  <si>
    <t>DB size log</t>
  </si>
  <si>
    <t>Storage</t>
  </si>
  <si>
    <t>Sig size</t>
  </si>
  <si>
    <t>total comm</t>
  </si>
  <si>
    <t>Comm</t>
  </si>
  <si>
    <t>Comm log</t>
  </si>
  <si>
    <t>server total time 10p</t>
  </si>
  <si>
    <t>server total time 20p</t>
  </si>
  <si>
    <t>server total time 40p</t>
  </si>
  <si>
    <t>server total time 50p</t>
  </si>
  <si>
    <t>server total time 25p</t>
  </si>
  <si>
    <t>server total time 75p</t>
  </si>
  <si>
    <t>server total time 5p</t>
  </si>
  <si>
    <t>comm nofp</t>
  </si>
  <si>
    <t>comm 75p</t>
  </si>
  <si>
    <t>BF size</t>
  </si>
  <si>
    <t>Sig Size</t>
  </si>
  <si>
    <t>comm 50p</t>
  </si>
  <si>
    <t>comm 25p</t>
  </si>
  <si>
    <t>comm 5p</t>
  </si>
  <si>
    <t>PEMC comm</t>
  </si>
  <si>
    <t>sig verification</t>
  </si>
  <si>
    <t>time nofp</t>
  </si>
  <si>
    <t>time 50p</t>
  </si>
  <si>
    <t>time 25p</t>
  </si>
  <si>
    <t>time 5p</t>
  </si>
  <si>
    <t>time 75p</t>
  </si>
  <si>
    <t>time 10p</t>
  </si>
  <si>
    <t>comm 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</si>
</sst>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0C0E-3F95-AE4A-BCDB-2E4FBD0F86E2}">
  <dimension ref="A1:AG12"/>
  <sheetViews>
    <sheetView topLeftCell="G1" workbookViewId="0">
      <selection activeCell="A8" sqref="A8:XFD8"/>
    </sheetView>
  </sheetViews>
  <sheetFormatPr baseColWidth="10" defaultRowHeight="16" x14ac:dyDescent="0.2"/>
  <cols>
    <col min="1" max="2" width="16.6640625" customWidth="1"/>
    <col min="3" max="3" width="20.6640625" customWidth="1"/>
    <col min="4" max="4" width="20.83203125" customWidth="1"/>
    <col min="5" max="6" width="21" customWidth="1"/>
    <col min="7" max="18" width="19.33203125" customWidth="1"/>
    <col min="20" max="22" width="19.5" customWidth="1"/>
    <col min="23" max="23" width="14.83203125" customWidth="1"/>
    <col min="24" max="24" width="21" customWidth="1"/>
    <col min="25" max="25" width="17.1640625" customWidth="1"/>
    <col min="28" max="28" width="22.6640625" customWidth="1"/>
    <col min="30" max="32" width="15.5" customWidth="1"/>
  </cols>
  <sheetData>
    <row r="1" spans="1:33" x14ac:dyDescent="0.2">
      <c r="A1" t="s">
        <v>46</v>
      </c>
      <c r="B1" t="s">
        <v>0</v>
      </c>
      <c r="C1" t="s">
        <v>1</v>
      </c>
      <c r="D1" t="s">
        <v>2</v>
      </c>
      <c r="E1" t="s">
        <v>3</v>
      </c>
      <c r="F1" t="s">
        <v>40</v>
      </c>
      <c r="G1" t="s">
        <v>5</v>
      </c>
      <c r="H1" t="s">
        <v>42</v>
      </c>
      <c r="I1" t="s">
        <v>41</v>
      </c>
      <c r="J1" t="s">
        <v>45</v>
      </c>
      <c r="K1" t="s">
        <v>52</v>
      </c>
      <c r="L1" t="s">
        <v>53</v>
      </c>
      <c r="M1" t="s">
        <v>56</v>
      </c>
      <c r="N1" t="s">
        <v>54</v>
      </c>
      <c r="O1" t="s">
        <v>57</v>
      </c>
      <c r="P1" t="s">
        <v>58</v>
      </c>
      <c r="Q1" t="s">
        <v>52</v>
      </c>
      <c r="R1" t="s">
        <v>55</v>
      </c>
      <c r="S1" t="s">
        <v>4</v>
      </c>
      <c r="T1" t="s">
        <v>43</v>
      </c>
      <c r="U1" t="s">
        <v>44</v>
      </c>
      <c r="V1" t="s">
        <v>22</v>
      </c>
      <c r="W1" t="s">
        <v>7</v>
      </c>
      <c r="X1" t="s">
        <v>8</v>
      </c>
      <c r="Y1" t="s">
        <v>9</v>
      </c>
      <c r="Z1" t="s">
        <v>13</v>
      </c>
      <c r="AA1" t="s">
        <v>48</v>
      </c>
      <c r="AB1" t="s">
        <v>15</v>
      </c>
      <c r="AC1" t="s">
        <v>14</v>
      </c>
      <c r="AD1" t="s">
        <v>16</v>
      </c>
      <c r="AE1" t="s">
        <v>49</v>
      </c>
      <c r="AF1" t="s">
        <v>23</v>
      </c>
      <c r="AG1" t="s">
        <v>24</v>
      </c>
    </row>
    <row r="2" spans="1:33" x14ac:dyDescent="0.2">
      <c r="A2">
        <v>14</v>
      </c>
      <c r="B2">
        <f xml:space="preserve"> 2^A2</f>
        <v>16384</v>
      </c>
      <c r="C2">
        <v>0.42</v>
      </c>
      <c r="D2">
        <v>0.31</v>
      </c>
      <c r="E2">
        <v>0.56000000000000005</v>
      </c>
      <c r="F2">
        <f xml:space="preserve"> 2.7 * POWER(10,-5)</f>
        <v>2.7000000000000002E-5</v>
      </c>
      <c r="G2">
        <f xml:space="preserve"> 3.5 * POWER(10, -5)</f>
        <v>3.5000000000000004E-5</v>
      </c>
      <c r="H2">
        <v>7.0000000000000001E-3</v>
      </c>
      <c r="I2">
        <v>0.13</v>
      </c>
      <c r="J2">
        <f xml:space="preserve"> I2 + G2  + F2 * A2</f>
        <v>0.130413</v>
      </c>
      <c r="K2">
        <f xml:space="preserve"> 1/10 * J2 + F2 * 9/10</f>
        <v>1.30656E-2</v>
      </c>
      <c r="L2">
        <f xml:space="preserve"> 2/10 * J2 + 8/10 * F2</f>
        <v>2.6104200000000001E-2</v>
      </c>
      <c r="M2">
        <f xml:space="preserve"> 2.5/10 * J2 + 7.5/10 * F2</f>
        <v>3.26235E-2</v>
      </c>
      <c r="N2">
        <f xml:space="preserve"> 4/10 * J2 + 6/10 * F2</f>
        <v>5.2181400000000003E-2</v>
      </c>
      <c r="O2">
        <f xml:space="preserve"> 3/4 * J2 + 1/4 * F2</f>
        <v>9.7816500000000001E-2</v>
      </c>
      <c r="P2">
        <f xml:space="preserve"> 5/100 * J2 + 95/100 * F2</f>
        <v>6.5463000000000006E-3</v>
      </c>
      <c r="Q2">
        <f xml:space="preserve"> 1/10 * J2 + 9/10 *F2</f>
        <v>1.30656E-2</v>
      </c>
      <c r="R2">
        <f xml:space="preserve"> 1/2 * F2 + 1/2 * J2</f>
        <v>6.522E-2</v>
      </c>
      <c r="S2">
        <v>0.05</v>
      </c>
      <c r="Y2">
        <v>1106</v>
      </c>
      <c r="AA2">
        <v>256</v>
      </c>
      <c r="AB2">
        <f t="shared" ref="AB2:AB12" si="0">(64 * POWER(2,A2))/POWER(2,20)</f>
        <v>1</v>
      </c>
      <c r="AC2">
        <v>462</v>
      </c>
      <c r="AD2">
        <f xml:space="preserve"> (AC2*10000 + AB2*1000)/10000</f>
        <v>462.1</v>
      </c>
      <c r="AE2">
        <f xml:space="preserve"> (AC2 + AA2)/1000</f>
        <v>0.71799999999999997</v>
      </c>
      <c r="AF2">
        <f>1/Y2</f>
        <v>9.0415913200723324E-4</v>
      </c>
      <c r="AG2">
        <f xml:space="preserve"> LOG(AF2*1000)</f>
        <v>-4.3755126968679496E-2</v>
      </c>
    </row>
    <row r="3" spans="1:33" x14ac:dyDescent="0.2">
      <c r="A3">
        <v>15</v>
      </c>
      <c r="B3">
        <f t="shared" ref="B3:B12" si="1" xml:space="preserve"> 2^A3</f>
        <v>32768</v>
      </c>
      <c r="C3">
        <v>2.8</v>
      </c>
      <c r="D3">
        <v>0.63</v>
      </c>
      <c r="E3">
        <v>1.1399999999999999</v>
      </c>
      <c r="F3">
        <f t="shared" ref="F3:F12" si="2" xml:space="preserve"> 2.6 * POWER(10,-5)</f>
        <v>2.6000000000000002E-5</v>
      </c>
      <c r="G3">
        <v>5.9999999999999995E-4</v>
      </c>
      <c r="H3">
        <v>7.0000000000000001E-3</v>
      </c>
      <c r="I3">
        <v>0.13</v>
      </c>
      <c r="J3">
        <f t="shared" ref="J3:J12" si="3" xml:space="preserve"> I3 + G3  + F3 * A3</f>
        <v>0.13099</v>
      </c>
      <c r="K3">
        <f t="shared" ref="K3:K12" si="4" xml:space="preserve"> 1/10 * J3 + F3 * 9/10</f>
        <v>1.3122399999999999E-2</v>
      </c>
      <c r="L3">
        <f t="shared" ref="L3:L12" si="5" xml:space="preserve"> 2/10 * J3 + 8/10 * F3</f>
        <v>2.62188E-2</v>
      </c>
      <c r="M3">
        <f t="shared" ref="M3:M12" si="6" xml:space="preserve"> 2.5/10 * J3 + 7.5/10 * F3</f>
        <v>3.2766999999999998E-2</v>
      </c>
      <c r="N3">
        <f t="shared" ref="N3:N12" si="7" xml:space="preserve"> 4/10 * J3 + 6/10 * F3</f>
        <v>5.2411599999999996E-2</v>
      </c>
      <c r="O3">
        <f t="shared" ref="O3:O12" si="8" xml:space="preserve"> 3/4 * J3 + 1/4 * F3</f>
        <v>9.8249000000000003E-2</v>
      </c>
      <c r="P3">
        <f t="shared" ref="P3:P12" si="9" xml:space="preserve"> 5/100 * J3 + 95/100 * F3</f>
        <v>6.5741999999999997E-3</v>
      </c>
      <c r="Q3">
        <f t="shared" ref="Q3:Q12" si="10" xml:space="preserve"> 1/10 * J3 + 9/10 *F3</f>
        <v>1.3122399999999999E-2</v>
      </c>
      <c r="R3">
        <f t="shared" ref="R3:R12" si="11" xml:space="preserve"> 1/2 * F3 + 1/2 * J3</f>
        <v>6.5507999999999997E-2</v>
      </c>
      <c r="S3">
        <v>0.11</v>
      </c>
      <c r="Y3">
        <v>1106</v>
      </c>
      <c r="AA3">
        <v>256</v>
      </c>
      <c r="AB3">
        <f t="shared" si="0"/>
        <v>2</v>
      </c>
      <c r="AC3">
        <v>462</v>
      </c>
      <c r="AD3">
        <f t="shared" ref="AD3:AD12" si="12" xml:space="preserve"> (AC3*10000 + AB3*1000)/10000</f>
        <v>462.2</v>
      </c>
      <c r="AE3">
        <f t="shared" ref="AE3:AE12" si="13" xml:space="preserve"> (AC3 + AA3)/1000</f>
        <v>0.71799999999999997</v>
      </c>
      <c r="AF3">
        <f t="shared" ref="AF3:AF12" si="14">1/Y3</f>
        <v>9.0415913200723324E-4</v>
      </c>
      <c r="AG3">
        <f t="shared" ref="AG3:AG12" si="15" xml:space="preserve"> LOG(AF3*1000)</f>
        <v>-4.3755126968679496E-2</v>
      </c>
    </row>
    <row r="4" spans="1:33" x14ac:dyDescent="0.2">
      <c r="A4">
        <v>16</v>
      </c>
      <c r="B4">
        <f t="shared" si="1"/>
        <v>65536</v>
      </c>
      <c r="C4">
        <v>5.8</v>
      </c>
      <c r="D4">
        <v>1.26</v>
      </c>
      <c r="E4">
        <v>2.25</v>
      </c>
      <c r="F4">
        <f t="shared" si="2"/>
        <v>2.6000000000000002E-5</v>
      </c>
      <c r="G4">
        <v>5.0000000000000001E-3</v>
      </c>
      <c r="H4">
        <v>7.0000000000000001E-3</v>
      </c>
      <c r="I4">
        <v>0.13</v>
      </c>
      <c r="J4">
        <f t="shared" si="3"/>
        <v>0.13541600000000001</v>
      </c>
      <c r="K4">
        <f t="shared" si="4"/>
        <v>1.3565000000000001E-2</v>
      </c>
      <c r="L4">
        <f t="shared" si="5"/>
        <v>2.7104000000000003E-2</v>
      </c>
      <c r="M4">
        <f t="shared" si="6"/>
        <v>3.3873500000000001E-2</v>
      </c>
      <c r="N4">
        <f t="shared" si="7"/>
        <v>5.4182000000000001E-2</v>
      </c>
      <c r="O4">
        <f t="shared" si="8"/>
        <v>0.10156850000000002</v>
      </c>
      <c r="P4">
        <f t="shared" si="9"/>
        <v>6.7955000000000003E-3</v>
      </c>
      <c r="Q4">
        <f t="shared" si="10"/>
        <v>1.3565000000000001E-2</v>
      </c>
      <c r="R4">
        <f t="shared" si="11"/>
        <v>6.7721000000000003E-2</v>
      </c>
      <c r="S4">
        <v>0.22</v>
      </c>
      <c r="Y4">
        <v>1106</v>
      </c>
      <c r="AA4">
        <v>256</v>
      </c>
      <c r="AB4">
        <f t="shared" si="0"/>
        <v>4</v>
      </c>
      <c r="AC4">
        <v>462</v>
      </c>
      <c r="AD4">
        <f t="shared" si="12"/>
        <v>462.4</v>
      </c>
      <c r="AE4">
        <f t="shared" si="13"/>
        <v>0.71799999999999997</v>
      </c>
      <c r="AF4">
        <f t="shared" si="14"/>
        <v>9.0415913200723324E-4</v>
      </c>
      <c r="AG4">
        <f t="shared" si="15"/>
        <v>-4.3755126968679496E-2</v>
      </c>
    </row>
    <row r="5" spans="1:33" x14ac:dyDescent="0.2">
      <c r="A5">
        <v>17</v>
      </c>
      <c r="B5">
        <f t="shared" si="1"/>
        <v>131072</v>
      </c>
      <c r="C5">
        <v>11.6</v>
      </c>
      <c r="D5">
        <v>2.5</v>
      </c>
      <c r="E5">
        <v>4.4800000000000004</v>
      </c>
      <c r="F5">
        <f t="shared" si="2"/>
        <v>2.6000000000000002E-5</v>
      </c>
      <c r="G5">
        <v>4.3999999999999997E-2</v>
      </c>
      <c r="H5">
        <v>7.0000000000000001E-3</v>
      </c>
      <c r="I5">
        <v>0.13</v>
      </c>
      <c r="J5">
        <f t="shared" si="3"/>
        <v>0.17444199999999999</v>
      </c>
      <c r="K5">
        <f t="shared" si="4"/>
        <v>1.74676E-2</v>
      </c>
      <c r="L5">
        <f t="shared" si="5"/>
        <v>3.4909200000000001E-2</v>
      </c>
      <c r="M5">
        <f t="shared" si="6"/>
        <v>4.3629999999999995E-2</v>
      </c>
      <c r="N5">
        <f t="shared" si="7"/>
        <v>6.9792400000000004E-2</v>
      </c>
      <c r="O5">
        <f t="shared" si="8"/>
        <v>0.13083799999999998</v>
      </c>
      <c r="P5">
        <f t="shared" si="9"/>
        <v>8.7468000000000008E-3</v>
      </c>
      <c r="Q5">
        <f t="shared" si="10"/>
        <v>1.74676E-2</v>
      </c>
      <c r="R5">
        <f t="shared" si="11"/>
        <v>8.7233999999999992E-2</v>
      </c>
      <c r="S5">
        <v>0.45</v>
      </c>
      <c r="Y5">
        <v>1106</v>
      </c>
      <c r="AA5">
        <v>256</v>
      </c>
      <c r="AB5">
        <f t="shared" si="0"/>
        <v>8</v>
      </c>
      <c r="AC5">
        <v>462</v>
      </c>
      <c r="AD5">
        <f t="shared" si="12"/>
        <v>462.8</v>
      </c>
      <c r="AE5">
        <f t="shared" si="13"/>
        <v>0.71799999999999997</v>
      </c>
      <c r="AF5">
        <f t="shared" si="14"/>
        <v>9.0415913200723324E-4</v>
      </c>
      <c r="AG5">
        <f t="shared" si="15"/>
        <v>-4.3755126968679496E-2</v>
      </c>
    </row>
    <row r="6" spans="1:33" x14ac:dyDescent="0.2">
      <c r="A6">
        <v>18</v>
      </c>
      <c r="B6">
        <f t="shared" si="1"/>
        <v>262144</v>
      </c>
      <c r="C6">
        <v>23.2</v>
      </c>
      <c r="D6">
        <v>5.09</v>
      </c>
      <c r="E6">
        <v>8.92</v>
      </c>
      <c r="F6">
        <f t="shared" si="2"/>
        <v>2.6000000000000002E-5</v>
      </c>
      <c r="G6">
        <v>0.1</v>
      </c>
      <c r="H6">
        <v>7.0000000000000001E-3</v>
      </c>
      <c r="I6">
        <v>0.13</v>
      </c>
      <c r="J6">
        <f t="shared" si="3"/>
        <v>0.23046800000000001</v>
      </c>
      <c r="K6">
        <f t="shared" si="4"/>
        <v>2.3070200000000003E-2</v>
      </c>
      <c r="L6">
        <f t="shared" si="5"/>
        <v>4.6114400000000007E-2</v>
      </c>
      <c r="M6">
        <f t="shared" si="6"/>
        <v>5.76365E-2</v>
      </c>
      <c r="N6">
        <f t="shared" si="7"/>
        <v>9.2202800000000015E-2</v>
      </c>
      <c r="O6">
        <f t="shared" si="8"/>
        <v>0.1728575</v>
      </c>
      <c r="P6">
        <f t="shared" si="9"/>
        <v>1.1548100000000002E-2</v>
      </c>
      <c r="Q6">
        <f t="shared" si="10"/>
        <v>2.3070200000000003E-2</v>
      </c>
      <c r="R6">
        <f t="shared" si="11"/>
        <v>0.115247</v>
      </c>
      <c r="S6">
        <v>0.9</v>
      </c>
      <c r="Y6">
        <v>1106</v>
      </c>
      <c r="AA6">
        <v>256</v>
      </c>
      <c r="AB6">
        <f t="shared" si="0"/>
        <v>16</v>
      </c>
      <c r="AC6">
        <v>462</v>
      </c>
      <c r="AD6">
        <f t="shared" si="12"/>
        <v>463.6</v>
      </c>
      <c r="AE6">
        <f t="shared" si="13"/>
        <v>0.71799999999999997</v>
      </c>
      <c r="AF6">
        <f t="shared" si="14"/>
        <v>9.0415913200723324E-4</v>
      </c>
      <c r="AG6">
        <f t="shared" si="15"/>
        <v>-4.3755126968679496E-2</v>
      </c>
    </row>
    <row r="7" spans="1:33" x14ac:dyDescent="0.2">
      <c r="A7">
        <v>19</v>
      </c>
      <c r="B7">
        <f t="shared" si="1"/>
        <v>524288</v>
      </c>
      <c r="C7">
        <v>46.5</v>
      </c>
      <c r="D7">
        <v>10.06</v>
      </c>
      <c r="E7">
        <v>17.920000000000002</v>
      </c>
      <c r="F7">
        <f t="shared" si="2"/>
        <v>2.6000000000000002E-5</v>
      </c>
      <c r="G7">
        <v>0.21</v>
      </c>
      <c r="H7">
        <v>7.0000000000000001E-3</v>
      </c>
      <c r="I7">
        <v>0.13</v>
      </c>
      <c r="J7">
        <f t="shared" si="3"/>
        <v>0.34049399999999996</v>
      </c>
      <c r="K7">
        <f t="shared" si="4"/>
        <v>3.40728E-2</v>
      </c>
      <c r="L7">
        <f t="shared" si="5"/>
        <v>6.8119600000000002E-2</v>
      </c>
      <c r="M7">
        <f t="shared" si="6"/>
        <v>8.5142999999999996E-2</v>
      </c>
      <c r="N7">
        <f t="shared" si="7"/>
        <v>0.13621320000000001</v>
      </c>
      <c r="O7">
        <f t="shared" si="8"/>
        <v>0.25537699999999997</v>
      </c>
      <c r="P7">
        <f t="shared" si="9"/>
        <v>1.7049399999999999E-2</v>
      </c>
      <c r="Q7">
        <f t="shared" si="10"/>
        <v>3.40728E-2</v>
      </c>
      <c r="R7">
        <f t="shared" si="11"/>
        <v>0.17025999999999999</v>
      </c>
      <c r="S7">
        <v>1.8</v>
      </c>
      <c r="Y7">
        <v>1106</v>
      </c>
      <c r="AA7">
        <v>256</v>
      </c>
      <c r="AB7">
        <f t="shared" si="0"/>
        <v>32</v>
      </c>
      <c r="AC7">
        <v>462</v>
      </c>
      <c r="AD7">
        <f t="shared" si="12"/>
        <v>465.2</v>
      </c>
      <c r="AE7">
        <f t="shared" si="13"/>
        <v>0.71799999999999997</v>
      </c>
      <c r="AF7">
        <f t="shared" si="14"/>
        <v>9.0415913200723324E-4</v>
      </c>
      <c r="AG7">
        <f t="shared" si="15"/>
        <v>-4.3755126968679496E-2</v>
      </c>
    </row>
    <row r="8" spans="1:33" x14ac:dyDescent="0.2">
      <c r="A8">
        <v>20</v>
      </c>
      <c r="B8">
        <f t="shared" si="1"/>
        <v>1048576</v>
      </c>
      <c r="C8">
        <v>93</v>
      </c>
      <c r="D8">
        <v>20.36</v>
      </c>
      <c r="E8">
        <v>35.78</v>
      </c>
      <c r="F8">
        <f t="shared" si="2"/>
        <v>2.6000000000000002E-5</v>
      </c>
      <c r="G8">
        <v>0.3</v>
      </c>
      <c r="H8">
        <v>7.0000000000000001E-3</v>
      </c>
      <c r="I8">
        <v>0.13</v>
      </c>
      <c r="J8">
        <f t="shared" si="3"/>
        <v>0.43052000000000001</v>
      </c>
      <c r="K8">
        <f t="shared" si="4"/>
        <v>4.3075400000000007E-2</v>
      </c>
      <c r="L8">
        <f t="shared" si="5"/>
        <v>8.6124800000000015E-2</v>
      </c>
      <c r="M8">
        <f t="shared" si="6"/>
        <v>0.10764950000000001</v>
      </c>
      <c r="N8">
        <f t="shared" si="7"/>
        <v>0.17222360000000003</v>
      </c>
      <c r="O8">
        <f t="shared" si="8"/>
        <v>0.32289650000000003</v>
      </c>
      <c r="P8">
        <f t="shared" si="9"/>
        <v>2.1550700000000002E-2</v>
      </c>
      <c r="Q8">
        <f t="shared" si="10"/>
        <v>4.3075400000000007E-2</v>
      </c>
      <c r="R8">
        <f t="shared" si="11"/>
        <v>0.21527300000000002</v>
      </c>
      <c r="S8">
        <v>3.6</v>
      </c>
      <c r="T8">
        <v>0.75</v>
      </c>
      <c r="U8">
        <v>0</v>
      </c>
      <c r="V8">
        <f xml:space="preserve"> LOG(T8*1000)</f>
        <v>2.8750612633917001</v>
      </c>
      <c r="W8">
        <f xml:space="preserve"> 1/T8</f>
        <v>1.3333333333333333</v>
      </c>
      <c r="X8">
        <f xml:space="preserve"> LOG(W8)/LOG(2)</f>
        <v>0.41503749927884376</v>
      </c>
      <c r="Y8">
        <v>1106</v>
      </c>
      <c r="Z8">
        <v>394.32</v>
      </c>
      <c r="AA8">
        <v>256</v>
      </c>
      <c r="AB8">
        <f t="shared" si="0"/>
        <v>64</v>
      </c>
      <c r="AC8">
        <v>462</v>
      </c>
      <c r="AD8">
        <f t="shared" si="12"/>
        <v>468.4</v>
      </c>
      <c r="AE8">
        <f t="shared" si="13"/>
        <v>0.71799999999999997</v>
      </c>
      <c r="AF8">
        <f t="shared" si="14"/>
        <v>9.0415913200723324E-4</v>
      </c>
      <c r="AG8">
        <f t="shared" si="15"/>
        <v>-4.3755126968679496E-2</v>
      </c>
    </row>
    <row r="9" spans="1:33" x14ac:dyDescent="0.2">
      <c r="A9">
        <v>21</v>
      </c>
      <c r="B9">
        <f t="shared" si="1"/>
        <v>2097152</v>
      </c>
      <c r="C9">
        <v>186</v>
      </c>
      <c r="D9">
        <v>40.06</v>
      </c>
      <c r="E9">
        <v>71.63</v>
      </c>
      <c r="F9">
        <f t="shared" si="2"/>
        <v>2.6000000000000002E-5</v>
      </c>
      <c r="G9">
        <v>0.7</v>
      </c>
      <c r="H9">
        <v>7.0000000000000001E-3</v>
      </c>
      <c r="I9">
        <v>0.13</v>
      </c>
      <c r="J9">
        <f t="shared" si="3"/>
        <v>0.83054600000000001</v>
      </c>
      <c r="K9">
        <f t="shared" si="4"/>
        <v>8.3078000000000013E-2</v>
      </c>
      <c r="L9">
        <f t="shared" si="5"/>
        <v>0.16613</v>
      </c>
      <c r="M9">
        <f t="shared" si="6"/>
        <v>0.20765600000000001</v>
      </c>
      <c r="N9">
        <f t="shared" si="7"/>
        <v>0.33223400000000003</v>
      </c>
      <c r="O9">
        <f t="shared" si="8"/>
        <v>0.62291600000000003</v>
      </c>
      <c r="P9">
        <f t="shared" si="9"/>
        <v>4.1552000000000006E-2</v>
      </c>
      <c r="Q9">
        <f t="shared" si="10"/>
        <v>8.3078000000000013E-2</v>
      </c>
      <c r="R9">
        <f t="shared" si="11"/>
        <v>0.41528599999999999</v>
      </c>
      <c r="S9">
        <v>7.2</v>
      </c>
      <c r="T9">
        <v>1.34</v>
      </c>
      <c r="U9">
        <v>0</v>
      </c>
      <c r="V9">
        <f t="shared" ref="V9:V12" si="16" xml:space="preserve"> LOG(T9*1000)</f>
        <v>3.1271047983648077</v>
      </c>
      <c r="W9">
        <f t="shared" ref="W9:W12" si="17" xml:space="preserve"> 1/T9</f>
        <v>0.74626865671641784</v>
      </c>
      <c r="X9">
        <f t="shared" ref="X9:X12" si="18" xml:space="preserve"> LOG(W9)/LOG(2)</f>
        <v>-0.42223300068304787</v>
      </c>
      <c r="Y9">
        <v>1106</v>
      </c>
      <c r="Z9">
        <v>394.45</v>
      </c>
      <c r="AA9">
        <v>256</v>
      </c>
      <c r="AB9">
        <f t="shared" si="0"/>
        <v>128</v>
      </c>
      <c r="AC9">
        <v>462</v>
      </c>
      <c r="AD9">
        <f t="shared" si="12"/>
        <v>474.8</v>
      </c>
      <c r="AE9">
        <f t="shared" si="13"/>
        <v>0.71799999999999997</v>
      </c>
      <c r="AF9">
        <f t="shared" si="14"/>
        <v>9.0415913200723324E-4</v>
      </c>
      <c r="AG9">
        <f t="shared" si="15"/>
        <v>-4.3755126968679496E-2</v>
      </c>
    </row>
    <row r="10" spans="1:33" x14ac:dyDescent="0.2">
      <c r="A10">
        <v>22</v>
      </c>
      <c r="B10">
        <f t="shared" si="1"/>
        <v>4194304</v>
      </c>
      <c r="C10">
        <v>373</v>
      </c>
      <c r="D10">
        <v>81</v>
      </c>
      <c r="E10">
        <v>150</v>
      </c>
      <c r="F10">
        <f t="shared" si="2"/>
        <v>2.6000000000000002E-5</v>
      </c>
      <c r="G10">
        <v>1.55</v>
      </c>
      <c r="H10">
        <v>7.0000000000000001E-3</v>
      </c>
      <c r="I10">
        <v>0.13</v>
      </c>
      <c r="J10">
        <f t="shared" si="3"/>
        <v>1.6805720000000002</v>
      </c>
      <c r="K10">
        <f t="shared" si="4"/>
        <v>0.16808060000000002</v>
      </c>
      <c r="L10">
        <f t="shared" si="5"/>
        <v>0.33613520000000002</v>
      </c>
      <c r="M10">
        <f t="shared" si="6"/>
        <v>0.42016250000000005</v>
      </c>
      <c r="N10">
        <f t="shared" si="7"/>
        <v>0.67224440000000008</v>
      </c>
      <c r="O10">
        <f t="shared" si="8"/>
        <v>1.2604355000000003</v>
      </c>
      <c r="P10">
        <f t="shared" si="9"/>
        <v>8.4053300000000011E-2</v>
      </c>
      <c r="Q10">
        <f t="shared" si="10"/>
        <v>0.16808060000000002</v>
      </c>
      <c r="R10">
        <f t="shared" si="11"/>
        <v>0.84029900000000013</v>
      </c>
      <c r="S10">
        <v>14.5</v>
      </c>
      <c r="T10">
        <v>2.6</v>
      </c>
      <c r="U10">
        <v>0</v>
      </c>
      <c r="V10">
        <f t="shared" si="16"/>
        <v>3.4149733479708178</v>
      </c>
      <c r="W10">
        <f t="shared" si="17"/>
        <v>0.38461538461538458</v>
      </c>
      <c r="X10">
        <f t="shared" si="18"/>
        <v>-1.37851162325373</v>
      </c>
      <c r="Y10">
        <v>1106</v>
      </c>
      <c r="Z10">
        <v>394.71</v>
      </c>
      <c r="AA10">
        <v>256</v>
      </c>
      <c r="AB10">
        <f t="shared" si="0"/>
        <v>256</v>
      </c>
      <c r="AC10">
        <v>462</v>
      </c>
      <c r="AD10">
        <f t="shared" si="12"/>
        <v>487.6</v>
      </c>
      <c r="AE10">
        <f t="shared" si="13"/>
        <v>0.71799999999999997</v>
      </c>
      <c r="AF10">
        <f t="shared" si="14"/>
        <v>9.0415913200723324E-4</v>
      </c>
      <c r="AG10">
        <f t="shared" si="15"/>
        <v>-4.3755126968679496E-2</v>
      </c>
    </row>
    <row r="11" spans="1:33" x14ac:dyDescent="0.2">
      <c r="A11">
        <v>23</v>
      </c>
      <c r="B11">
        <f t="shared" si="1"/>
        <v>8388608</v>
      </c>
      <c r="C11">
        <v>747</v>
      </c>
      <c r="D11">
        <v>167</v>
      </c>
      <c r="E11">
        <v>301</v>
      </c>
      <c r="F11">
        <f t="shared" si="2"/>
        <v>2.6000000000000002E-5</v>
      </c>
      <c r="G11">
        <v>3.13</v>
      </c>
      <c r="H11">
        <v>7.0000000000000001E-3</v>
      </c>
      <c r="I11">
        <v>0.13</v>
      </c>
      <c r="J11">
        <f t="shared" si="3"/>
        <v>3.2605979999999999</v>
      </c>
      <c r="K11">
        <f t="shared" si="4"/>
        <v>0.32608320000000002</v>
      </c>
      <c r="L11">
        <f t="shared" si="5"/>
        <v>0.65214040000000006</v>
      </c>
      <c r="M11">
        <f t="shared" si="6"/>
        <v>0.81516899999999992</v>
      </c>
      <c r="N11">
        <f t="shared" si="7"/>
        <v>1.3042548</v>
      </c>
      <c r="O11">
        <f t="shared" si="8"/>
        <v>2.4454549999999999</v>
      </c>
      <c r="P11">
        <f t="shared" si="9"/>
        <v>0.16305459999999999</v>
      </c>
      <c r="Q11">
        <f t="shared" si="10"/>
        <v>0.32608320000000002</v>
      </c>
      <c r="R11">
        <f t="shared" si="11"/>
        <v>1.630312</v>
      </c>
      <c r="S11">
        <v>29</v>
      </c>
      <c r="T11">
        <v>5.37</v>
      </c>
      <c r="U11">
        <v>0</v>
      </c>
      <c r="V11">
        <f t="shared" si="16"/>
        <v>3.7299742856995555</v>
      </c>
      <c r="W11">
        <f t="shared" si="17"/>
        <v>0.18621973929236499</v>
      </c>
      <c r="X11">
        <f t="shared" si="18"/>
        <v>-2.4249220882106877</v>
      </c>
      <c r="Y11">
        <v>1106</v>
      </c>
      <c r="Z11">
        <v>395.25</v>
      </c>
      <c r="AA11">
        <v>256</v>
      </c>
      <c r="AB11">
        <f t="shared" si="0"/>
        <v>512</v>
      </c>
      <c r="AC11">
        <v>462</v>
      </c>
      <c r="AD11">
        <f t="shared" si="12"/>
        <v>513.20000000000005</v>
      </c>
      <c r="AE11">
        <f t="shared" si="13"/>
        <v>0.71799999999999997</v>
      </c>
      <c r="AF11">
        <f t="shared" si="14"/>
        <v>9.0415913200723324E-4</v>
      </c>
      <c r="AG11">
        <f t="shared" si="15"/>
        <v>-4.3755126968679496E-2</v>
      </c>
    </row>
    <row r="12" spans="1:33" x14ac:dyDescent="0.2">
      <c r="A12">
        <v>24</v>
      </c>
      <c r="B12">
        <f t="shared" si="1"/>
        <v>16777216</v>
      </c>
      <c r="C12">
        <v>1494</v>
      </c>
      <c r="D12">
        <v>321</v>
      </c>
      <c r="E12">
        <v>660</v>
      </c>
      <c r="F12">
        <f t="shared" si="2"/>
        <v>2.6000000000000002E-5</v>
      </c>
      <c r="G12">
        <v>6.34</v>
      </c>
      <c r="H12">
        <v>7.0000000000000001E-3</v>
      </c>
      <c r="I12">
        <v>0.13</v>
      </c>
      <c r="J12">
        <f t="shared" si="3"/>
        <v>6.4706239999999999</v>
      </c>
      <c r="K12">
        <f t="shared" si="4"/>
        <v>0.64708580000000004</v>
      </c>
      <c r="L12">
        <f t="shared" si="5"/>
        <v>1.2941456</v>
      </c>
      <c r="M12">
        <f t="shared" si="6"/>
        <v>1.6176755</v>
      </c>
      <c r="N12">
        <f t="shared" si="7"/>
        <v>2.5882651999999999</v>
      </c>
      <c r="O12">
        <f t="shared" si="8"/>
        <v>4.8529744999999993</v>
      </c>
      <c r="P12">
        <f t="shared" si="9"/>
        <v>0.32355590000000001</v>
      </c>
      <c r="Q12">
        <f t="shared" si="10"/>
        <v>0.64708580000000004</v>
      </c>
      <c r="R12">
        <f t="shared" si="11"/>
        <v>3.235325</v>
      </c>
      <c r="S12">
        <v>58</v>
      </c>
      <c r="T12">
        <v>13</v>
      </c>
      <c r="U12">
        <v>0</v>
      </c>
      <c r="V12">
        <f t="shared" si="16"/>
        <v>4.1139433523068369</v>
      </c>
      <c r="W12">
        <f t="shared" si="17"/>
        <v>7.6923076923076927E-2</v>
      </c>
      <c r="X12">
        <f t="shared" si="18"/>
        <v>-3.7004397181410922</v>
      </c>
      <c r="Y12">
        <v>1106</v>
      </c>
      <c r="Z12">
        <v>396.3</v>
      </c>
      <c r="AA12">
        <v>256</v>
      </c>
      <c r="AB12">
        <f t="shared" si="0"/>
        <v>1024</v>
      </c>
      <c r="AC12">
        <v>462</v>
      </c>
      <c r="AD12">
        <f t="shared" si="12"/>
        <v>564.4</v>
      </c>
      <c r="AE12">
        <f t="shared" si="13"/>
        <v>0.71799999999999997</v>
      </c>
      <c r="AF12">
        <f t="shared" si="14"/>
        <v>9.0415913200723324E-4</v>
      </c>
      <c r="AG12">
        <f t="shared" si="15"/>
        <v>-4.3755126968679496E-2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2A3E-204F-0B46-BC0C-45E285BF700B}">
  <dimension ref="A1:C8"/>
  <sheetViews>
    <sheetView workbookViewId="0">
      <selection activeCell="C1" sqref="C1"/>
    </sheetView>
  </sheetViews>
  <sheetFormatPr baseColWidth="10" defaultRowHeight="16" x14ac:dyDescent="0.2"/>
  <sheetData>
    <row r="1" spans="1:3" x14ac:dyDescent="0.2">
      <c r="A1" t="s">
        <v>46</v>
      </c>
      <c r="B1" t="s">
        <v>0</v>
      </c>
      <c r="C1" t="s">
        <v>12</v>
      </c>
    </row>
    <row r="2" spans="1:3" x14ac:dyDescent="0.2">
      <c r="A2">
        <v>14</v>
      </c>
      <c r="B2">
        <f xml:space="preserve"> 2^A2</f>
        <v>16384</v>
      </c>
      <c r="C2">
        <v>0.05</v>
      </c>
    </row>
    <row r="3" spans="1:3" x14ac:dyDescent="0.2">
      <c r="A3">
        <v>15</v>
      </c>
      <c r="B3">
        <f t="shared" ref="B3:B8" si="0" xml:space="preserve"> 2^A3</f>
        <v>32768</v>
      </c>
      <c r="C3">
        <v>0.11</v>
      </c>
    </row>
    <row r="4" spans="1:3" x14ac:dyDescent="0.2">
      <c r="A4">
        <v>16</v>
      </c>
      <c r="B4">
        <f t="shared" si="0"/>
        <v>65536</v>
      </c>
      <c r="C4">
        <v>0.22</v>
      </c>
    </row>
    <row r="5" spans="1:3" x14ac:dyDescent="0.2">
      <c r="A5">
        <v>17</v>
      </c>
      <c r="B5">
        <f t="shared" si="0"/>
        <v>131072</v>
      </c>
      <c r="C5">
        <v>0.45</v>
      </c>
    </row>
    <row r="6" spans="1:3" x14ac:dyDescent="0.2">
      <c r="A6">
        <v>18</v>
      </c>
      <c r="B6">
        <f t="shared" si="0"/>
        <v>262144</v>
      </c>
      <c r="C6">
        <v>0.9</v>
      </c>
    </row>
    <row r="7" spans="1:3" x14ac:dyDescent="0.2">
      <c r="A7">
        <v>19</v>
      </c>
      <c r="B7">
        <f t="shared" si="0"/>
        <v>524288</v>
      </c>
      <c r="C7">
        <v>1.8</v>
      </c>
    </row>
    <row r="8" spans="1:3" x14ac:dyDescent="0.2">
      <c r="A8">
        <v>20</v>
      </c>
      <c r="B8">
        <f t="shared" si="0"/>
        <v>1048576</v>
      </c>
      <c r="C8">
        <v>3.65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2F28-C07D-F54B-89B0-D11FB507AD0B}">
  <dimension ref="A1:L12"/>
  <sheetViews>
    <sheetView tabSelected="1" workbookViewId="0">
      <selection activeCell="I2" sqref="I2:I12"/>
    </sheetView>
  </sheetViews>
  <sheetFormatPr baseColWidth="10" defaultRowHeight="16" x14ac:dyDescent="0.2"/>
  <sheetData>
    <row r="1" spans="1:12" x14ac:dyDescent="0.2">
      <c r="A1" t="s">
        <v>46</v>
      </c>
      <c r="B1" t="s">
        <v>0</v>
      </c>
      <c r="C1" t="s">
        <v>61</v>
      </c>
      <c r="D1" t="s">
        <v>62</v>
      </c>
      <c r="E1" t="s">
        <v>59</v>
      </c>
      <c r="F1" t="s">
        <v>60</v>
      </c>
      <c r="G1" t="s">
        <v>63</v>
      </c>
      <c r="H1" t="s">
        <v>64</v>
      </c>
      <c r="I1" t="s">
        <v>74</v>
      </c>
      <c r="J1" t="s">
        <v>65</v>
      </c>
      <c r="K1" t="s">
        <v>51</v>
      </c>
      <c r="L1" t="s">
        <v>66</v>
      </c>
    </row>
    <row r="2" spans="1:12" x14ac:dyDescent="0.2">
      <c r="A2">
        <v>14</v>
      </c>
      <c r="B2">
        <f xml:space="preserve"> 2^A2</f>
        <v>16384</v>
      </c>
      <c r="C2">
        <v>0.23</v>
      </c>
      <c r="D2">
        <f xml:space="preserve"> 0.25</f>
        <v>0.25</v>
      </c>
      <c r="E2">
        <f xml:space="preserve"> C2 + D2 * A2</f>
        <v>3.73</v>
      </c>
      <c r="F2">
        <f>3/4*E2+1/4*C2</f>
        <v>2.855</v>
      </c>
      <c r="G2">
        <f xml:space="preserve"> 1/2 * E2 + 1/2 * C2</f>
        <v>1.98</v>
      </c>
      <c r="H2">
        <f xml:space="preserve"> 1/4* E2 + 3/4 * C2</f>
        <v>1.105</v>
      </c>
      <c r="I2">
        <f xml:space="preserve"> 1/10 * E2 + 9/10 * C2</f>
        <v>0.58000000000000007</v>
      </c>
      <c r="J2">
        <f xml:space="preserve"> 5/100 * E2 + 95/100 * C2</f>
        <v>0.40500000000000003</v>
      </c>
      <c r="K2">
        <f xml:space="preserve"> LOG(E2)</f>
        <v>0.57170883180868759</v>
      </c>
    </row>
    <row r="3" spans="1:12" x14ac:dyDescent="0.2">
      <c r="A3">
        <v>15</v>
      </c>
      <c r="B3">
        <f t="shared" ref="B3:B12" si="0" xml:space="preserve"> 2^A3</f>
        <v>32768</v>
      </c>
      <c r="C3">
        <v>0.23</v>
      </c>
      <c r="D3">
        <f t="shared" ref="D3:D12" si="1" xml:space="preserve"> 0.25</f>
        <v>0.25</v>
      </c>
      <c r="E3">
        <f t="shared" ref="E3:E12" si="2" xml:space="preserve"> C3 + D3 * A3</f>
        <v>3.98</v>
      </c>
      <c r="F3">
        <f t="shared" ref="F3:F12" si="3" xml:space="preserve"> 3/4 * E3 + 1/4 * C3</f>
        <v>3.0425</v>
      </c>
      <c r="G3">
        <f t="shared" ref="G3:G12" si="4" xml:space="preserve"> 1/2 * E3 + 1/2 * C3</f>
        <v>2.105</v>
      </c>
      <c r="H3">
        <f t="shared" ref="H3:H12" si="5" xml:space="preserve"> 1/4* E3 + 3/4 * C3</f>
        <v>1.1675</v>
      </c>
      <c r="I3">
        <f t="shared" ref="I3:I12" si="6" xml:space="preserve"> 1/10 * E3 + 9/10 * C3</f>
        <v>0.60499999999999998</v>
      </c>
      <c r="J3">
        <f t="shared" ref="J3:J12" si="7" xml:space="preserve"> 5/100 * E3 + 95/100 * C3</f>
        <v>0.41749999999999998</v>
      </c>
      <c r="K3">
        <f t="shared" ref="K3:K7" si="8" xml:space="preserve"> LOG(E3)</f>
        <v>0.59988307207368785</v>
      </c>
    </row>
    <row r="4" spans="1:12" x14ac:dyDescent="0.2">
      <c r="A4">
        <v>16</v>
      </c>
      <c r="B4">
        <f t="shared" si="0"/>
        <v>65536</v>
      </c>
      <c r="C4">
        <v>0.23</v>
      </c>
      <c r="D4">
        <f t="shared" si="1"/>
        <v>0.25</v>
      </c>
      <c r="E4">
        <f t="shared" si="2"/>
        <v>4.2300000000000004</v>
      </c>
      <c r="F4">
        <f t="shared" si="3"/>
        <v>3.2300000000000004</v>
      </c>
      <c r="G4">
        <f t="shared" si="4"/>
        <v>2.2300000000000004</v>
      </c>
      <c r="H4">
        <f t="shared" si="5"/>
        <v>1.2300000000000002</v>
      </c>
      <c r="I4">
        <f t="shared" si="6"/>
        <v>0.63000000000000012</v>
      </c>
      <c r="J4">
        <f t="shared" si="7"/>
        <v>0.43000000000000005</v>
      </c>
      <c r="K4">
        <f t="shared" si="8"/>
        <v>0.6263403673750424</v>
      </c>
    </row>
    <row r="5" spans="1:12" x14ac:dyDescent="0.2">
      <c r="A5">
        <v>17</v>
      </c>
      <c r="B5">
        <f t="shared" si="0"/>
        <v>131072</v>
      </c>
      <c r="C5">
        <v>0.23</v>
      </c>
      <c r="D5">
        <f t="shared" si="1"/>
        <v>0.25</v>
      </c>
      <c r="E5">
        <f t="shared" si="2"/>
        <v>4.4800000000000004</v>
      </c>
      <c r="F5">
        <f t="shared" si="3"/>
        <v>3.4175000000000004</v>
      </c>
      <c r="G5">
        <f t="shared" si="4"/>
        <v>2.3550000000000004</v>
      </c>
      <c r="H5">
        <f t="shared" si="5"/>
        <v>1.2925000000000002</v>
      </c>
      <c r="I5">
        <f t="shared" si="6"/>
        <v>0.65500000000000003</v>
      </c>
      <c r="J5">
        <f t="shared" si="7"/>
        <v>0.4425</v>
      </c>
      <c r="K5">
        <f t="shared" si="8"/>
        <v>0.651278013998144</v>
      </c>
    </row>
    <row r="6" spans="1:12" x14ac:dyDescent="0.2">
      <c r="A6">
        <v>18</v>
      </c>
      <c r="B6">
        <f t="shared" si="0"/>
        <v>262144</v>
      </c>
      <c r="C6">
        <v>0.23</v>
      </c>
      <c r="D6">
        <f t="shared" si="1"/>
        <v>0.25</v>
      </c>
      <c r="E6">
        <f t="shared" si="2"/>
        <v>4.7300000000000004</v>
      </c>
      <c r="F6">
        <f t="shared" si="3"/>
        <v>3.6050000000000004</v>
      </c>
      <c r="G6">
        <f t="shared" si="4"/>
        <v>2.4800000000000004</v>
      </c>
      <c r="H6">
        <f t="shared" si="5"/>
        <v>1.3550000000000002</v>
      </c>
      <c r="I6">
        <f t="shared" si="6"/>
        <v>0.68000000000000016</v>
      </c>
      <c r="J6">
        <f t="shared" si="7"/>
        <v>0.45500000000000007</v>
      </c>
      <c r="K6">
        <f t="shared" si="8"/>
        <v>0.67486114073781156</v>
      </c>
    </row>
    <row r="7" spans="1:12" x14ac:dyDescent="0.2">
      <c r="A7">
        <v>19</v>
      </c>
      <c r="B7">
        <f t="shared" si="0"/>
        <v>524288</v>
      </c>
      <c r="C7">
        <v>0.23</v>
      </c>
      <c r="D7">
        <f t="shared" si="1"/>
        <v>0.25</v>
      </c>
      <c r="E7">
        <f t="shared" si="2"/>
        <v>4.9800000000000004</v>
      </c>
      <c r="F7">
        <f t="shared" si="3"/>
        <v>3.7925000000000004</v>
      </c>
      <c r="G7">
        <f t="shared" si="4"/>
        <v>2.6050000000000004</v>
      </c>
      <c r="H7">
        <f t="shared" si="5"/>
        <v>1.4175000000000002</v>
      </c>
      <c r="I7">
        <f t="shared" si="6"/>
        <v>0.70500000000000007</v>
      </c>
      <c r="J7">
        <f t="shared" si="7"/>
        <v>0.46750000000000003</v>
      </c>
      <c r="K7">
        <f t="shared" si="8"/>
        <v>0.6972293427597176</v>
      </c>
    </row>
    <row r="8" spans="1:12" x14ac:dyDescent="0.2">
      <c r="A8">
        <v>20</v>
      </c>
      <c r="B8">
        <f t="shared" si="0"/>
        <v>1048576</v>
      </c>
      <c r="C8">
        <v>0.23</v>
      </c>
      <c r="D8">
        <f t="shared" si="1"/>
        <v>0.25</v>
      </c>
      <c r="E8">
        <f t="shared" si="2"/>
        <v>5.23</v>
      </c>
      <c r="F8">
        <f t="shared" si="3"/>
        <v>3.9800000000000004</v>
      </c>
      <c r="G8">
        <f t="shared" si="4"/>
        <v>2.7300000000000004</v>
      </c>
      <c r="H8">
        <f t="shared" si="5"/>
        <v>1.4800000000000002</v>
      </c>
      <c r="I8">
        <f t="shared" si="6"/>
        <v>0.73</v>
      </c>
      <c r="J8">
        <f t="shared" si="7"/>
        <v>0.48</v>
      </c>
      <c r="K8">
        <f xml:space="preserve"> LOG(E8)</f>
        <v>0.71850168886727428</v>
      </c>
      <c r="L8">
        <f xml:space="preserve"> 394</f>
        <v>394</v>
      </c>
    </row>
    <row r="9" spans="1:12" x14ac:dyDescent="0.2">
      <c r="A9">
        <v>21</v>
      </c>
      <c r="B9">
        <f t="shared" si="0"/>
        <v>2097152</v>
      </c>
      <c r="C9">
        <v>0.23</v>
      </c>
      <c r="D9">
        <f t="shared" si="1"/>
        <v>0.25</v>
      </c>
      <c r="E9">
        <f t="shared" si="2"/>
        <v>5.48</v>
      </c>
      <c r="F9">
        <f t="shared" si="3"/>
        <v>4.1675000000000004</v>
      </c>
      <c r="G9">
        <f t="shared" si="4"/>
        <v>2.8550000000000004</v>
      </c>
      <c r="H9">
        <f t="shared" si="5"/>
        <v>1.5425000000000002</v>
      </c>
      <c r="I9">
        <f t="shared" si="6"/>
        <v>0.75500000000000012</v>
      </c>
      <c r="J9">
        <f t="shared" si="7"/>
        <v>0.49250000000000005</v>
      </c>
      <c r="K9">
        <f t="shared" ref="K9:K12" si="9" xml:space="preserve"> LOG(E9)</f>
        <v>0.73878055848436919</v>
      </c>
      <c r="L9">
        <f t="shared" ref="L9:L12" si="10" xml:space="preserve"> 394</f>
        <v>394</v>
      </c>
    </row>
    <row r="10" spans="1:12" x14ac:dyDescent="0.2">
      <c r="A10">
        <v>22</v>
      </c>
      <c r="B10">
        <f t="shared" si="0"/>
        <v>4194304</v>
      </c>
      <c r="C10">
        <v>0.23</v>
      </c>
      <c r="D10">
        <f t="shared" si="1"/>
        <v>0.25</v>
      </c>
      <c r="E10">
        <f t="shared" si="2"/>
        <v>5.73</v>
      </c>
      <c r="F10">
        <f t="shared" si="3"/>
        <v>4.3550000000000004</v>
      </c>
      <c r="G10">
        <f t="shared" si="4"/>
        <v>2.9800000000000004</v>
      </c>
      <c r="H10">
        <f t="shared" si="5"/>
        <v>1.6050000000000002</v>
      </c>
      <c r="I10">
        <f t="shared" si="6"/>
        <v>0.78</v>
      </c>
      <c r="J10">
        <f t="shared" si="7"/>
        <v>0.505</v>
      </c>
      <c r="K10">
        <f t="shared" si="9"/>
        <v>0.75815462196739003</v>
      </c>
      <c r="L10">
        <f t="shared" si="10"/>
        <v>394</v>
      </c>
    </row>
    <row r="11" spans="1:12" x14ac:dyDescent="0.2">
      <c r="A11">
        <v>23</v>
      </c>
      <c r="B11">
        <f t="shared" si="0"/>
        <v>8388608</v>
      </c>
      <c r="C11">
        <v>0.23</v>
      </c>
      <c r="D11">
        <f t="shared" si="1"/>
        <v>0.25</v>
      </c>
      <c r="E11">
        <f t="shared" si="2"/>
        <v>5.98</v>
      </c>
      <c r="F11">
        <f t="shared" si="3"/>
        <v>4.5425000000000004</v>
      </c>
      <c r="G11">
        <f t="shared" si="4"/>
        <v>3.1050000000000004</v>
      </c>
      <c r="H11">
        <f t="shared" si="5"/>
        <v>1.6675000000000002</v>
      </c>
      <c r="I11">
        <f t="shared" si="6"/>
        <v>0.80500000000000016</v>
      </c>
      <c r="J11">
        <f t="shared" si="7"/>
        <v>0.51750000000000007</v>
      </c>
      <c r="K11">
        <f t="shared" si="9"/>
        <v>0.77670118398841093</v>
      </c>
      <c r="L11">
        <f t="shared" si="10"/>
        <v>394</v>
      </c>
    </row>
    <row r="12" spans="1:12" x14ac:dyDescent="0.2">
      <c r="A12">
        <v>24</v>
      </c>
      <c r="B12">
        <f t="shared" si="0"/>
        <v>16777216</v>
      </c>
      <c r="C12">
        <v>0.23</v>
      </c>
      <c r="D12">
        <f t="shared" si="1"/>
        <v>0.25</v>
      </c>
      <c r="E12">
        <f t="shared" si="2"/>
        <v>6.23</v>
      </c>
      <c r="F12">
        <f t="shared" si="3"/>
        <v>4.7300000000000004</v>
      </c>
      <c r="G12">
        <f t="shared" si="4"/>
        <v>3.2300000000000004</v>
      </c>
      <c r="H12">
        <f t="shared" si="5"/>
        <v>1.7300000000000002</v>
      </c>
      <c r="I12">
        <f t="shared" si="6"/>
        <v>0.83000000000000007</v>
      </c>
      <c r="J12">
        <f t="shared" si="7"/>
        <v>0.53</v>
      </c>
      <c r="K12">
        <f t="shared" si="9"/>
        <v>0.79448804665916961</v>
      </c>
      <c r="L12">
        <f t="shared" si="10"/>
        <v>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16DDE-D5F3-384B-BF29-7AD687368EC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186E-B393-DC4D-880A-8EE36FD26646}">
  <dimension ref="A1:O5"/>
  <sheetViews>
    <sheetView workbookViewId="0">
      <selection activeCell="O2" sqref="O2"/>
    </sheetView>
  </sheetViews>
  <sheetFormatPr baseColWidth="10" defaultRowHeight="16" x14ac:dyDescent="0.2"/>
  <cols>
    <col min="8" max="9" width="23.6640625" customWidth="1"/>
    <col min="10" max="10" width="25.83203125" customWidth="1"/>
    <col min="14" max="14" width="21.83203125" customWidth="1"/>
  </cols>
  <sheetData>
    <row r="1" spans="1:15" x14ac:dyDescent="0.2">
      <c r="A1" t="s">
        <v>31</v>
      </c>
      <c r="B1" t="s">
        <v>0</v>
      </c>
      <c r="C1" t="s">
        <v>25</v>
      </c>
      <c r="D1" t="s">
        <v>32</v>
      </c>
      <c r="E1" t="s">
        <v>10</v>
      </c>
      <c r="F1" t="s">
        <v>11</v>
      </c>
      <c r="G1" t="s">
        <v>12</v>
      </c>
      <c r="H1" t="s">
        <v>26</v>
      </c>
      <c r="I1" t="s">
        <v>37</v>
      </c>
      <c r="J1" t="s">
        <v>35</v>
      </c>
      <c r="K1" t="s">
        <v>30</v>
      </c>
      <c r="L1" t="s">
        <v>33</v>
      </c>
      <c r="M1" t="s">
        <v>34</v>
      </c>
      <c r="N1" t="s">
        <v>27</v>
      </c>
      <c r="O1" t="s">
        <v>50</v>
      </c>
    </row>
    <row r="2" spans="1:15" x14ac:dyDescent="0.2">
      <c r="A2">
        <v>14</v>
      </c>
      <c r="B2">
        <f xml:space="preserve"> POWER(2,A2)</f>
        <v>16384</v>
      </c>
      <c r="C2">
        <f xml:space="preserve"> LOG(B2)</f>
        <v>4.2144199392957367</v>
      </c>
      <c r="D2">
        <v>10</v>
      </c>
      <c r="F2" s="2">
        <v>0.42418899999999998</v>
      </c>
      <c r="G2">
        <f xml:space="preserve">  (B2 * 10 * 128 * 2)/(POWER(2,20))</f>
        <v>40</v>
      </c>
      <c r="H2">
        <v>7.1</v>
      </c>
      <c r="I2">
        <f xml:space="preserve"> F2</f>
        <v>0.42418899999999998</v>
      </c>
      <c r="J2">
        <f xml:space="preserve"> LOG((F2) + H2 + N2)</f>
        <v>0.96492819290071064</v>
      </c>
      <c r="K2">
        <f>(1/POWER(B2*10,1/(10-1)))</f>
        <v>0.26340256922266614</v>
      </c>
      <c r="L2">
        <f xml:space="preserve"> POWER(1 - K2 + 2*B2*POWER(K2, 10), D2)</f>
        <v>9.3820916616718514E-2</v>
      </c>
      <c r="M2">
        <f xml:space="preserve"> L2*100</f>
        <v>9.3820916616718506</v>
      </c>
      <c r="N2">
        <f xml:space="preserve"> (170 * D2)/1000</f>
        <v>1.7</v>
      </c>
      <c r="O2">
        <f xml:space="preserve"> 512 * 40 + 64 * POWER(20,2)</f>
        <v>46080</v>
      </c>
    </row>
    <row r="3" spans="1:15" x14ac:dyDescent="0.2">
      <c r="A3">
        <v>16</v>
      </c>
      <c r="B3">
        <f t="shared" ref="B3:B5" si="0" xml:space="preserve"> POWER(2,A3)</f>
        <v>65536</v>
      </c>
      <c r="C3">
        <f t="shared" ref="C3:C5" si="1" xml:space="preserve"> LOG(B3)</f>
        <v>4.8164799306236992</v>
      </c>
      <c r="D3">
        <v>10</v>
      </c>
      <c r="F3" s="2">
        <v>0.42418899999999998</v>
      </c>
      <c r="G3">
        <f t="shared" ref="G3:G5" si="2" xml:space="preserve"> (B3 * 10 * 128 * 2)/(POWER(2,20))</f>
        <v>160</v>
      </c>
      <c r="H3">
        <v>7.1</v>
      </c>
      <c r="I3">
        <f t="shared" ref="I3:I5" si="3" xml:space="preserve"> F3</f>
        <v>0.42418899999999998</v>
      </c>
      <c r="J3">
        <f t="shared" ref="J3:J5" si="4" xml:space="preserve"> LOG((F3) + H3 + N3)</f>
        <v>0.96492819290071064</v>
      </c>
      <c r="K3">
        <f>(1/POWER(B3*10,1/(10-1)))</f>
        <v>0.22580026753417057</v>
      </c>
      <c r="L3">
        <f xml:space="preserve"> POWER(1 - K3 + 2*B3*POWER(K3, 10), D3)</f>
        <v>0.1363786699035453</v>
      </c>
      <c r="M3">
        <f t="shared" ref="M3:M5" si="5" xml:space="preserve"> L3*100</f>
        <v>13.63786699035453</v>
      </c>
      <c r="N3">
        <f t="shared" ref="N3:N5" si="6" xml:space="preserve"> (170 * D3)/1000</f>
        <v>1.7</v>
      </c>
      <c r="O3">
        <f t="shared" ref="O3:O5" si="7" xml:space="preserve"> 512 * 20 + 64 * POWER(20,2)</f>
        <v>35840</v>
      </c>
    </row>
    <row r="4" spans="1:15" x14ac:dyDescent="0.2">
      <c r="A4">
        <v>18</v>
      </c>
      <c r="B4">
        <f t="shared" si="0"/>
        <v>262144</v>
      </c>
      <c r="C4">
        <f t="shared" si="1"/>
        <v>5.4185399219516617</v>
      </c>
      <c r="D4">
        <v>10</v>
      </c>
      <c r="F4" s="2">
        <v>0.42418899999999998</v>
      </c>
      <c r="G4">
        <f t="shared" si="2"/>
        <v>640</v>
      </c>
      <c r="H4">
        <v>7.1</v>
      </c>
      <c r="I4">
        <f t="shared" si="3"/>
        <v>0.42418899999999998</v>
      </c>
      <c r="J4">
        <f t="shared" si="4"/>
        <v>0.96492819290071064</v>
      </c>
      <c r="K4">
        <f>(1/POWER(B4*10,1/(10-1)))</f>
        <v>0.1935659206702818</v>
      </c>
      <c r="L4">
        <f xml:space="preserve"> POWER(1 - K4 + 2*B4*POWER(K4, 10), D4)</f>
        <v>0.18591905183094035</v>
      </c>
      <c r="M4">
        <f t="shared" si="5"/>
        <v>18.591905183094035</v>
      </c>
      <c r="N4">
        <f t="shared" si="6"/>
        <v>1.7</v>
      </c>
      <c r="O4">
        <f t="shared" si="7"/>
        <v>35840</v>
      </c>
    </row>
    <row r="5" spans="1:15" x14ac:dyDescent="0.2">
      <c r="A5">
        <v>20</v>
      </c>
      <c r="B5">
        <f t="shared" si="0"/>
        <v>1048576</v>
      </c>
      <c r="C5">
        <f t="shared" si="1"/>
        <v>6.0205999132796242</v>
      </c>
      <c r="D5">
        <v>10</v>
      </c>
      <c r="F5" s="2">
        <v>0.42418899999999998</v>
      </c>
      <c r="G5">
        <f t="shared" si="2"/>
        <v>2560</v>
      </c>
      <c r="H5">
        <v>7.1</v>
      </c>
      <c r="I5">
        <f t="shared" si="3"/>
        <v>0.42418899999999998</v>
      </c>
      <c r="J5">
        <f t="shared" si="4"/>
        <v>0.96492819290071064</v>
      </c>
      <c r="K5">
        <f>(1/POWER(B5*10,1/(10-1)))</f>
        <v>0.1659332207800143</v>
      </c>
      <c r="L5">
        <f xml:space="preserve"> POWER(1 - K5 + 2*B5*POWER(K5, 10), D5)</f>
        <v>0.24069120900598664</v>
      </c>
      <c r="M5">
        <f t="shared" si="5"/>
        <v>24.069120900598666</v>
      </c>
      <c r="N5">
        <f t="shared" si="6"/>
        <v>1.7</v>
      </c>
      <c r="O5">
        <f t="shared" si="7"/>
        <v>35840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504A-D481-7E45-9982-BE536809F7E8}">
  <dimension ref="A1:P5"/>
  <sheetViews>
    <sheetView workbookViewId="0">
      <selection activeCell="O2" sqref="O2:O5"/>
    </sheetView>
  </sheetViews>
  <sheetFormatPr baseColWidth="10" defaultRowHeight="16" x14ac:dyDescent="0.2"/>
  <cols>
    <col min="8" max="9" width="22.6640625" customWidth="1"/>
    <col min="10" max="10" width="24.5" customWidth="1"/>
    <col min="14" max="14" width="18.33203125" customWidth="1"/>
    <col min="15" max="15" width="17.6640625" customWidth="1"/>
  </cols>
  <sheetData>
    <row r="1" spans="1:16" x14ac:dyDescent="0.2">
      <c r="A1" t="s">
        <v>31</v>
      </c>
      <c r="B1" t="s">
        <v>0</v>
      </c>
      <c r="C1" t="s">
        <v>25</v>
      </c>
      <c r="D1" t="s">
        <v>32</v>
      </c>
      <c r="E1" t="s">
        <v>10</v>
      </c>
      <c r="F1" t="s">
        <v>11</v>
      </c>
      <c r="G1" t="s">
        <v>12</v>
      </c>
      <c r="H1" t="s">
        <v>26</v>
      </c>
      <c r="I1" t="s">
        <v>37</v>
      </c>
      <c r="J1" t="s">
        <v>35</v>
      </c>
      <c r="K1" t="s">
        <v>30</v>
      </c>
      <c r="L1" t="s">
        <v>33</v>
      </c>
      <c r="M1" t="s">
        <v>34</v>
      </c>
      <c r="N1" t="s">
        <v>27</v>
      </c>
      <c r="O1" t="s">
        <v>50</v>
      </c>
      <c r="P1" t="s">
        <v>51</v>
      </c>
    </row>
    <row r="2" spans="1:16" x14ac:dyDescent="0.2">
      <c r="A2">
        <v>14</v>
      </c>
      <c r="B2">
        <f xml:space="preserve"> POWER(2,A2)</f>
        <v>16384</v>
      </c>
      <c r="C2">
        <f xml:space="preserve"> LOG(B2)</f>
        <v>4.2144199392957367</v>
      </c>
      <c r="D2">
        <v>30</v>
      </c>
      <c r="F2" s="2">
        <v>0.92957900000000004</v>
      </c>
      <c r="G2">
        <f xml:space="preserve">  (B2 * 30 * 128 )/(POWER(2,20))</f>
        <v>60</v>
      </c>
      <c r="H2">
        <v>21.367000000000001</v>
      </c>
      <c r="I2">
        <f xml:space="preserve"> F2</f>
        <v>0.92957900000000004</v>
      </c>
      <c r="J2">
        <f xml:space="preserve"> LOG((F2*1000) + H2 + N2)</f>
        <v>2.9804787887881834</v>
      </c>
      <c r="K2">
        <f>(1/POWER(B2*10,1/(10-1)))</f>
        <v>0.26340256922266614</v>
      </c>
      <c r="L2">
        <f xml:space="preserve"> POWER(1 - K2 + 2*B2*POWER(K2, 10), D2)</f>
        <v>8.2584589591462002E-4</v>
      </c>
      <c r="M2">
        <f xml:space="preserve"> L2*100</f>
        <v>8.2584589591462004E-2</v>
      </c>
      <c r="N2">
        <f xml:space="preserve"> (170 * D2)/1000</f>
        <v>5.0999999999999996</v>
      </c>
      <c r="O2">
        <f xml:space="preserve"> (512 * 20 + 64 * POWER(30,2))/1000</f>
        <v>67.84</v>
      </c>
      <c r="P2">
        <f xml:space="preserve"> LOG(O2)</f>
        <v>1.8314858392486575</v>
      </c>
    </row>
    <row r="3" spans="1:16" x14ac:dyDescent="0.2">
      <c r="A3">
        <v>16</v>
      </c>
      <c r="B3">
        <f t="shared" ref="B3:B5" si="0" xml:space="preserve"> POWER(2,A3)</f>
        <v>65536</v>
      </c>
      <c r="C3">
        <f t="shared" ref="C3:C5" si="1" xml:space="preserve"> LOG(B3)</f>
        <v>4.8164799306236992</v>
      </c>
      <c r="D3">
        <v>30</v>
      </c>
      <c r="F3" s="2">
        <v>0.92957900000000004</v>
      </c>
      <c r="G3">
        <f t="shared" ref="G3:G5" si="2" xml:space="preserve">  (B3 * 30 * 128 )/(POWER(2,20))</f>
        <v>240</v>
      </c>
      <c r="H3">
        <v>21.367000000000001</v>
      </c>
      <c r="I3">
        <f t="shared" ref="I3:I5" si="3" xml:space="preserve"> F3</f>
        <v>0.92957900000000004</v>
      </c>
      <c r="J3">
        <f xml:space="preserve"> LOG((F3*1000) + H3 + N3)</f>
        <v>2.9804787887881834</v>
      </c>
      <c r="K3">
        <f t="shared" ref="K3:K5" si="4">(1/POWER(B3*10,1/(10-1)))</f>
        <v>0.22580026753417057</v>
      </c>
      <c r="L3">
        <f t="shared" ref="L3:L5" si="5" xml:space="preserve"> POWER(1 - K3 + 2*B3*POWER(K3, 10), D3)</f>
        <v>2.5365261933912452E-3</v>
      </c>
      <c r="M3">
        <f t="shared" ref="M3:M5" si="6" xml:space="preserve"> L3*100</f>
        <v>0.25365261933912453</v>
      </c>
      <c r="N3">
        <f t="shared" ref="N3:N5" si="7" xml:space="preserve"> (170 * D3)/1000</f>
        <v>5.0999999999999996</v>
      </c>
      <c r="O3">
        <f t="shared" ref="O3:O5" si="8" xml:space="preserve"> (512 * 20 + 64 * POWER(30,2))/1000</f>
        <v>67.84</v>
      </c>
      <c r="P3">
        <f t="shared" ref="P3:P5" si="9" xml:space="preserve"> LOG(O3)</f>
        <v>1.8314858392486575</v>
      </c>
    </row>
    <row r="4" spans="1:16" x14ac:dyDescent="0.2">
      <c r="A4">
        <v>18</v>
      </c>
      <c r="B4">
        <f t="shared" si="0"/>
        <v>262144</v>
      </c>
      <c r="C4">
        <f t="shared" si="1"/>
        <v>5.4185399219516617</v>
      </c>
      <c r="D4">
        <v>30</v>
      </c>
      <c r="F4" s="2">
        <v>0.92957900000000004</v>
      </c>
      <c r="G4">
        <f t="shared" si="2"/>
        <v>960</v>
      </c>
      <c r="H4">
        <v>21.367000000000001</v>
      </c>
      <c r="I4">
        <f t="shared" si="3"/>
        <v>0.92957900000000004</v>
      </c>
      <c r="J4">
        <f xml:space="preserve"> LOG((F4*1000) + H4 + N4)</f>
        <v>2.9804787887881834</v>
      </c>
      <c r="K4">
        <f t="shared" si="4"/>
        <v>0.1935659206702818</v>
      </c>
      <c r="L4">
        <f t="shared" si="5"/>
        <v>6.4264582072534058E-3</v>
      </c>
      <c r="M4">
        <f t="shared" si="6"/>
        <v>0.6426458207253406</v>
      </c>
      <c r="N4">
        <f t="shared" si="7"/>
        <v>5.0999999999999996</v>
      </c>
      <c r="O4">
        <f t="shared" si="8"/>
        <v>67.84</v>
      </c>
      <c r="P4">
        <f t="shared" si="9"/>
        <v>1.8314858392486575</v>
      </c>
    </row>
    <row r="5" spans="1:16" x14ac:dyDescent="0.2">
      <c r="A5">
        <v>20</v>
      </c>
      <c r="B5">
        <f t="shared" si="0"/>
        <v>1048576</v>
      </c>
      <c r="C5">
        <f t="shared" si="1"/>
        <v>6.0205999132796242</v>
      </c>
      <c r="D5">
        <v>30</v>
      </c>
      <c r="F5" s="2">
        <v>0.92957900000000004</v>
      </c>
      <c r="G5">
        <f t="shared" si="2"/>
        <v>3840</v>
      </c>
      <c r="H5">
        <v>21.367000000000001</v>
      </c>
      <c r="I5">
        <f t="shared" si="3"/>
        <v>0.92957900000000004</v>
      </c>
      <c r="J5">
        <f xml:space="preserve"> LOG((F5*1000) + H5 + N5)</f>
        <v>2.9804787887881834</v>
      </c>
      <c r="K5">
        <f t="shared" si="4"/>
        <v>0.1659332207800143</v>
      </c>
      <c r="L5">
        <f t="shared" si="5"/>
        <v>1.3943785240794111E-2</v>
      </c>
      <c r="M5">
        <f t="shared" si="6"/>
        <v>1.3943785240794111</v>
      </c>
      <c r="N5">
        <f t="shared" si="7"/>
        <v>5.0999999999999996</v>
      </c>
      <c r="O5">
        <f t="shared" si="8"/>
        <v>67.84</v>
      </c>
      <c r="P5">
        <f t="shared" si="9"/>
        <v>1.8314858392486575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EB06-3658-6247-81AA-4D8A8DC31B3B}">
  <dimension ref="A1:O5"/>
  <sheetViews>
    <sheetView workbookViewId="0">
      <selection activeCell="G2" sqref="G2"/>
    </sheetView>
  </sheetViews>
  <sheetFormatPr baseColWidth="10" defaultRowHeight="16" x14ac:dyDescent="0.2"/>
  <cols>
    <col min="8" max="9" width="22.5" customWidth="1"/>
    <col min="14" max="14" width="21" customWidth="1"/>
  </cols>
  <sheetData>
    <row r="1" spans="1:15" x14ac:dyDescent="0.2">
      <c r="A1" t="s">
        <v>31</v>
      </c>
      <c r="B1" t="s">
        <v>0</v>
      </c>
      <c r="C1" t="s">
        <v>25</v>
      </c>
      <c r="D1" t="s">
        <v>32</v>
      </c>
      <c r="E1" t="s">
        <v>10</v>
      </c>
      <c r="F1" t="s">
        <v>11</v>
      </c>
      <c r="G1" t="s">
        <v>12</v>
      </c>
      <c r="H1" t="s">
        <v>26</v>
      </c>
      <c r="I1" t="s">
        <v>37</v>
      </c>
      <c r="J1" t="s">
        <v>35</v>
      </c>
      <c r="K1" t="s">
        <v>30</v>
      </c>
      <c r="L1" t="s">
        <v>33</v>
      </c>
      <c r="M1" t="s">
        <v>34</v>
      </c>
      <c r="N1" t="s">
        <v>27</v>
      </c>
      <c r="O1" t="s">
        <v>36</v>
      </c>
    </row>
    <row r="2" spans="1:15" x14ac:dyDescent="0.2">
      <c r="A2">
        <v>14</v>
      </c>
      <c r="B2">
        <f t="shared" ref="B2:B5" si="0" xml:space="preserve"> POWER(2,A2)</f>
        <v>16384</v>
      </c>
      <c r="C2">
        <f xml:space="preserve"> LOG(B2)</f>
        <v>4.2144199392957367</v>
      </c>
      <c r="D2">
        <v>25</v>
      </c>
      <c r="E2">
        <v>43</v>
      </c>
      <c r="F2" s="2">
        <v>1.89378</v>
      </c>
      <c r="G2">
        <f xml:space="preserve">  (B2 * 50 * 128 * 2)/(POWER(2,20))</f>
        <v>200</v>
      </c>
      <c r="H2">
        <v>17.811</v>
      </c>
      <c r="I2">
        <f xml:space="preserve"> F2</f>
        <v>1.89378</v>
      </c>
      <c r="J2">
        <f xml:space="preserve"> LOG((F2*1000) + H2 + N2)</f>
        <v>3.2823594631517277</v>
      </c>
      <c r="K2">
        <f t="shared" ref="K2:K5" si="1">(1/POWER(B2*10,1/(10-1)))</f>
        <v>0.26340256922266614</v>
      </c>
      <c r="L2">
        <f t="shared" ref="L2:L5" si="2" xml:space="preserve"> POWER(1 - K2 + 2*B2*POWER(K2, 10), D2)</f>
        <v>2.6961818391554363E-3</v>
      </c>
      <c r="M2">
        <f t="shared" ref="M2:M5" si="3" xml:space="preserve"> L2*100</f>
        <v>0.26961818391554365</v>
      </c>
      <c r="N2">
        <f xml:space="preserve"> (170 * D2)/1000</f>
        <v>4.25</v>
      </c>
      <c r="O2">
        <f xml:space="preserve"> (D2 * 256 * 64 * 2 + D2 * 100)/2^10</f>
        <v>802.44140625</v>
      </c>
    </row>
    <row r="3" spans="1:15" x14ac:dyDescent="0.2">
      <c r="A3">
        <v>16</v>
      </c>
      <c r="B3">
        <f t="shared" si="0"/>
        <v>65536</v>
      </c>
      <c r="C3">
        <f t="shared" ref="C3:C5" si="4" xml:space="preserve"> LOG(B3)</f>
        <v>4.8164799306236992</v>
      </c>
      <c r="D3">
        <v>25</v>
      </c>
      <c r="E3">
        <v>185</v>
      </c>
      <c r="F3" s="2">
        <v>1.89378</v>
      </c>
      <c r="G3">
        <f t="shared" ref="G3:G5" si="5" xml:space="preserve">  (B3 * 50 * 128 * 2)/(POWER(2,20))</f>
        <v>800</v>
      </c>
      <c r="H3">
        <v>17.811</v>
      </c>
      <c r="I3">
        <f t="shared" ref="I3:I5" si="6" xml:space="preserve"> F3</f>
        <v>1.89378</v>
      </c>
      <c r="J3">
        <f xml:space="preserve"> LOG((F3*1000) + H3 + N3)</f>
        <v>3.2823594631517277</v>
      </c>
      <c r="K3">
        <f t="shared" si="1"/>
        <v>0.22580026753417057</v>
      </c>
      <c r="L3">
        <f t="shared" si="2"/>
        <v>6.8685667977252283E-3</v>
      </c>
      <c r="M3">
        <f t="shared" si="3"/>
        <v>0.68685667977252285</v>
      </c>
      <c r="N3">
        <f t="shared" ref="N3:N5" si="7" xml:space="preserve"> (170 * D3)/1000</f>
        <v>4.25</v>
      </c>
      <c r="O3">
        <f t="shared" ref="O3:O5" si="8" xml:space="preserve"> (D3 * 256 * 64 * 2 + D3 * 100)/2^10</f>
        <v>802.44140625</v>
      </c>
    </row>
    <row r="4" spans="1:15" x14ac:dyDescent="0.2">
      <c r="A4">
        <v>18</v>
      </c>
      <c r="B4">
        <f t="shared" si="0"/>
        <v>262144</v>
      </c>
      <c r="C4">
        <f t="shared" si="4"/>
        <v>5.4185399219516617</v>
      </c>
      <c r="D4">
        <v>25</v>
      </c>
      <c r="E4">
        <v>310</v>
      </c>
      <c r="F4" s="2">
        <v>1.89378</v>
      </c>
      <c r="G4">
        <f t="shared" si="5"/>
        <v>3200</v>
      </c>
      <c r="H4">
        <v>17.811</v>
      </c>
      <c r="I4">
        <f t="shared" si="6"/>
        <v>1.89378</v>
      </c>
      <c r="J4">
        <f xml:space="preserve"> LOG((F4*1000) + H4 + N4)</f>
        <v>3.2823594631517277</v>
      </c>
      <c r="K4">
        <f t="shared" si="1"/>
        <v>0.1935659206702818</v>
      </c>
      <c r="L4">
        <f t="shared" si="2"/>
        <v>1.4904236717079253E-2</v>
      </c>
      <c r="M4">
        <f t="shared" si="3"/>
        <v>1.4904236717079253</v>
      </c>
      <c r="N4">
        <f t="shared" si="7"/>
        <v>4.25</v>
      </c>
      <c r="O4">
        <f t="shared" si="8"/>
        <v>802.44140625</v>
      </c>
    </row>
    <row r="5" spans="1:15" x14ac:dyDescent="0.2">
      <c r="A5">
        <v>20</v>
      </c>
      <c r="B5">
        <f t="shared" si="0"/>
        <v>1048576</v>
      </c>
      <c r="C5">
        <f t="shared" si="4"/>
        <v>6.0205999132796242</v>
      </c>
      <c r="D5">
        <v>25</v>
      </c>
      <c r="E5">
        <v>3760</v>
      </c>
      <c r="F5" s="2">
        <v>1.89378</v>
      </c>
      <c r="G5">
        <f t="shared" si="5"/>
        <v>12800</v>
      </c>
      <c r="H5">
        <v>17.811</v>
      </c>
      <c r="I5">
        <f t="shared" si="6"/>
        <v>1.89378</v>
      </c>
      <c r="J5">
        <f xml:space="preserve"> LOG((F5*1000) + H5 + N5)</f>
        <v>3.2823594631517277</v>
      </c>
      <c r="K5">
        <f t="shared" si="1"/>
        <v>0.1659332207800143</v>
      </c>
      <c r="L5">
        <f t="shared" si="2"/>
        <v>2.8421734031542686E-2</v>
      </c>
      <c r="M5">
        <f t="shared" si="3"/>
        <v>2.8421734031542685</v>
      </c>
      <c r="N5">
        <f t="shared" si="7"/>
        <v>4.25</v>
      </c>
      <c r="O5">
        <f t="shared" si="8"/>
        <v>802.44140625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1148-E259-204A-9B1B-B432CD4791DA}">
  <dimension ref="A1:W5"/>
  <sheetViews>
    <sheetView workbookViewId="0">
      <selection activeCell="W2" sqref="W2:W5"/>
    </sheetView>
  </sheetViews>
  <sheetFormatPr baseColWidth="10" defaultRowHeight="16" x14ac:dyDescent="0.2"/>
  <cols>
    <col min="8" max="9" width="22.33203125" customWidth="1"/>
    <col min="10" max="10" width="35.5" customWidth="1"/>
    <col min="14" max="14" width="15.83203125" customWidth="1"/>
    <col min="17" max="17" width="27.83203125" customWidth="1"/>
  </cols>
  <sheetData>
    <row r="1" spans="1:23" x14ac:dyDescent="0.2">
      <c r="A1" t="s">
        <v>31</v>
      </c>
      <c r="B1" t="s">
        <v>0</v>
      </c>
      <c r="C1" t="s">
        <v>25</v>
      </c>
      <c r="D1" t="s">
        <v>32</v>
      </c>
      <c r="E1" t="s">
        <v>10</v>
      </c>
      <c r="F1" t="s">
        <v>11</v>
      </c>
      <c r="G1" t="s">
        <v>12</v>
      </c>
      <c r="H1" t="s">
        <v>26</v>
      </c>
      <c r="I1" t="s">
        <v>37</v>
      </c>
      <c r="J1" t="s">
        <v>35</v>
      </c>
      <c r="K1" t="s">
        <v>30</v>
      </c>
      <c r="L1" t="s">
        <v>33</v>
      </c>
      <c r="M1" t="s">
        <v>34</v>
      </c>
      <c r="N1" t="s">
        <v>27</v>
      </c>
      <c r="O1" t="s">
        <v>50</v>
      </c>
      <c r="P1" t="s">
        <v>51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</row>
    <row r="2" spans="1:23" x14ac:dyDescent="0.2">
      <c r="A2">
        <v>14</v>
      </c>
      <c r="B2">
        <f t="shared" ref="B2:B5" si="0" xml:space="preserve"> POWER(2,A2)</f>
        <v>16384</v>
      </c>
      <c r="C2">
        <f xml:space="preserve"> LOG(B2)</f>
        <v>4.2144199392957367</v>
      </c>
      <c r="D2">
        <v>20</v>
      </c>
      <c r="E2">
        <v>573</v>
      </c>
      <c r="F2" s="2">
        <v>0.5948</v>
      </c>
      <c r="G2">
        <f xml:space="preserve">  (B2 * 20 * 128 )/(POWER(2,20))</f>
        <v>40</v>
      </c>
      <c r="H2">
        <v>14.244</v>
      </c>
      <c r="I2">
        <f xml:space="preserve"> F2</f>
        <v>0.5948</v>
      </c>
      <c r="J2">
        <f xml:space="preserve"> LOG((F2*1000) + H2 + N2)</f>
        <v>2.7870663842972259</v>
      </c>
      <c r="K2">
        <f t="shared" ref="K2:K5" si="1">(1/POWER(B2*10,1/(10-1)))</f>
        <v>0.26340256922266614</v>
      </c>
      <c r="L2">
        <f t="shared" ref="L2:L5" si="2" xml:space="preserve"> POWER(1 - K2 + 2*B2*POWER(K2, 10), D2)</f>
        <v>8.802364394801249E-3</v>
      </c>
      <c r="M2">
        <f t="shared" ref="M2:M5" si="3" xml:space="preserve"> L2*100</f>
        <v>0.88023643948012487</v>
      </c>
      <c r="N2">
        <f xml:space="preserve"> (170 * D2)/1000</f>
        <v>3.4</v>
      </c>
      <c r="O2">
        <f xml:space="preserve"> (512 * 40 + 64 * POWER(20,2))/1000</f>
        <v>46.08</v>
      </c>
      <c r="P2">
        <f xml:space="preserve"> LOG(O2)</f>
        <v>1.6635124704151556</v>
      </c>
      <c r="Q2">
        <v>61</v>
      </c>
      <c r="R2">
        <f xml:space="preserve"> I2 + Q2</f>
        <v>61.594799999999999</v>
      </c>
      <c r="S2">
        <f xml:space="preserve"> 1/2 * Q2 + I2</f>
        <v>31.094799999999999</v>
      </c>
      <c r="T2">
        <f xml:space="preserve"> 1/4*Q2 + I2</f>
        <v>15.844799999999999</v>
      </c>
      <c r="U2">
        <f xml:space="preserve"> 95/100*I2 + 5/100*Q2</f>
        <v>3.6150600000000002</v>
      </c>
      <c r="V2">
        <f xml:space="preserve"> 3/4*Q2 + 1/4*I2</f>
        <v>45.898699999999998</v>
      </c>
      <c r="W2">
        <f xml:space="preserve"> 1/10 * Q2 + 9/10 * I2</f>
        <v>6.6353200000000001</v>
      </c>
    </row>
    <row r="3" spans="1:23" x14ac:dyDescent="0.2">
      <c r="A3">
        <v>16</v>
      </c>
      <c r="B3">
        <f t="shared" si="0"/>
        <v>65536</v>
      </c>
      <c r="C3">
        <f t="shared" ref="C3:C5" si="4" xml:space="preserve"> LOG(B3)</f>
        <v>4.8164799306236992</v>
      </c>
      <c r="D3">
        <v>20</v>
      </c>
      <c r="E3">
        <v>139</v>
      </c>
      <c r="F3" s="2">
        <v>0.5948</v>
      </c>
      <c r="G3">
        <f t="shared" ref="G3:G5" si="5" xml:space="preserve">  (B3 * 20 * 128 )/(POWER(2,20))</f>
        <v>160</v>
      </c>
      <c r="H3">
        <v>14.244</v>
      </c>
      <c r="I3">
        <f t="shared" ref="I3:I5" si="6" xml:space="preserve"> F3</f>
        <v>0.5948</v>
      </c>
      <c r="J3">
        <f xml:space="preserve"> LOG((F3*1000) + H3 + N3)</f>
        <v>2.7870663842972259</v>
      </c>
      <c r="K3">
        <f t="shared" si="1"/>
        <v>0.22580026753417057</v>
      </c>
      <c r="L3">
        <f t="shared" si="2"/>
        <v>1.8599141604660172E-2</v>
      </c>
      <c r="M3">
        <f t="shared" si="3"/>
        <v>1.8599141604660172</v>
      </c>
      <c r="N3">
        <f t="shared" ref="N3:N5" si="7" xml:space="preserve"> (170 * D3)/1000</f>
        <v>3.4</v>
      </c>
      <c r="O3">
        <f t="shared" ref="O3:O5" si="8" xml:space="preserve"> (512 * 40 + 64 * POWER(20,2))/1000</f>
        <v>46.08</v>
      </c>
      <c r="P3">
        <f t="shared" ref="P3:P5" si="9" xml:space="preserve"> LOG(O3)</f>
        <v>1.6635124704151556</v>
      </c>
      <c r="Q3">
        <v>61</v>
      </c>
      <c r="R3">
        <f t="shared" ref="R3:R5" si="10" xml:space="preserve"> I3 + Q3</f>
        <v>61.594799999999999</v>
      </c>
      <c r="S3">
        <f t="shared" ref="S3:S5" si="11" xml:space="preserve"> 1/2 * Q3 + I3</f>
        <v>31.094799999999999</v>
      </c>
      <c r="T3">
        <f t="shared" ref="T3:T5" si="12" xml:space="preserve"> 1/4*Q3 + I3</f>
        <v>15.844799999999999</v>
      </c>
      <c r="U3">
        <f t="shared" ref="U3:U5" si="13" xml:space="preserve"> 95/100*I3 + 5/100*Q3</f>
        <v>3.6150600000000002</v>
      </c>
      <c r="V3">
        <f t="shared" ref="V3:V5" si="14" xml:space="preserve"> 3/4*Q3 + 1/4*I3</f>
        <v>45.898699999999998</v>
      </c>
      <c r="W3">
        <f t="shared" ref="W3:W5" si="15" xml:space="preserve"> 1/10 * Q3 + 9/10 * I3</f>
        <v>6.6353200000000001</v>
      </c>
    </row>
    <row r="4" spans="1:23" x14ac:dyDescent="0.2">
      <c r="A4">
        <v>18</v>
      </c>
      <c r="B4">
        <f t="shared" si="0"/>
        <v>262144</v>
      </c>
      <c r="C4">
        <f t="shared" si="4"/>
        <v>5.4185399219516617</v>
      </c>
      <c r="D4">
        <v>20</v>
      </c>
      <c r="E4">
        <v>632</v>
      </c>
      <c r="F4" s="2">
        <v>0.5948</v>
      </c>
      <c r="G4">
        <f t="shared" si="5"/>
        <v>640</v>
      </c>
      <c r="H4">
        <v>14.244</v>
      </c>
      <c r="I4">
        <f t="shared" si="6"/>
        <v>0.5948</v>
      </c>
      <c r="J4">
        <f xml:space="preserve"> LOG((F4*1000) + H4 + N4)</f>
        <v>2.7870663842972259</v>
      </c>
      <c r="K4">
        <f t="shared" si="1"/>
        <v>0.1935659206702818</v>
      </c>
      <c r="L4">
        <f t="shared" si="2"/>
        <v>3.4565893833715888E-2</v>
      </c>
      <c r="M4">
        <f t="shared" si="3"/>
        <v>3.4565893833715888</v>
      </c>
      <c r="N4">
        <f t="shared" si="7"/>
        <v>3.4</v>
      </c>
      <c r="O4">
        <f t="shared" si="8"/>
        <v>46.08</v>
      </c>
      <c r="P4">
        <f t="shared" si="9"/>
        <v>1.6635124704151556</v>
      </c>
      <c r="Q4">
        <v>61</v>
      </c>
      <c r="R4">
        <f t="shared" si="10"/>
        <v>61.594799999999999</v>
      </c>
      <c r="S4">
        <f t="shared" si="11"/>
        <v>31.094799999999999</v>
      </c>
      <c r="T4">
        <f t="shared" si="12"/>
        <v>15.844799999999999</v>
      </c>
      <c r="U4">
        <f t="shared" si="13"/>
        <v>3.6150600000000002</v>
      </c>
      <c r="V4">
        <f t="shared" si="14"/>
        <v>45.898699999999998</v>
      </c>
      <c r="W4">
        <f t="shared" si="15"/>
        <v>6.6353200000000001</v>
      </c>
    </row>
    <row r="5" spans="1:23" x14ac:dyDescent="0.2">
      <c r="A5">
        <v>20</v>
      </c>
      <c r="B5">
        <f t="shared" si="0"/>
        <v>1048576</v>
      </c>
      <c r="C5">
        <f t="shared" si="4"/>
        <v>6.0205999132796242</v>
      </c>
      <c r="D5">
        <v>20</v>
      </c>
      <c r="E5">
        <v>3913</v>
      </c>
      <c r="F5" s="2">
        <v>0.5948</v>
      </c>
      <c r="G5">
        <f t="shared" si="5"/>
        <v>2560</v>
      </c>
      <c r="H5">
        <v>14.244</v>
      </c>
      <c r="I5">
        <f t="shared" si="6"/>
        <v>0.5948</v>
      </c>
      <c r="J5">
        <f xml:space="preserve"> LOG((F5*1000) + H5 + N5)</f>
        <v>2.7870663842972259</v>
      </c>
      <c r="K5">
        <f t="shared" si="1"/>
        <v>0.1659332207800143</v>
      </c>
      <c r="L5">
        <f t="shared" si="2"/>
        <v>5.793225809276354E-2</v>
      </c>
      <c r="M5">
        <f t="shared" si="3"/>
        <v>5.793225809276354</v>
      </c>
      <c r="N5">
        <f t="shared" si="7"/>
        <v>3.4</v>
      </c>
      <c r="O5">
        <f t="shared" si="8"/>
        <v>46.08</v>
      </c>
      <c r="P5">
        <f t="shared" si="9"/>
        <v>1.6635124704151556</v>
      </c>
      <c r="Q5">
        <v>61</v>
      </c>
      <c r="R5">
        <f t="shared" si="10"/>
        <v>61.594799999999999</v>
      </c>
      <c r="S5">
        <f t="shared" si="11"/>
        <v>31.094799999999999</v>
      </c>
      <c r="T5">
        <f t="shared" si="12"/>
        <v>15.844799999999999</v>
      </c>
      <c r="U5">
        <f t="shared" si="13"/>
        <v>3.6150600000000002</v>
      </c>
      <c r="V5">
        <f t="shared" si="14"/>
        <v>45.898699999999998</v>
      </c>
      <c r="W5">
        <f t="shared" si="15"/>
        <v>6.6353200000000001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6A62-CD05-CE4C-ACD3-240220BF963E}">
  <dimension ref="A1:C5"/>
  <sheetViews>
    <sheetView workbookViewId="0">
      <selection activeCell="C2" sqref="C2"/>
    </sheetView>
  </sheetViews>
  <sheetFormatPr baseColWidth="10" defaultRowHeight="16" x14ac:dyDescent="0.2"/>
  <cols>
    <col min="1" max="1" width="32.83203125" customWidth="1"/>
  </cols>
  <sheetData>
    <row r="1" spans="1:3" x14ac:dyDescent="0.2">
      <c r="A1" t="s">
        <v>46</v>
      </c>
      <c r="B1" t="s">
        <v>0</v>
      </c>
      <c r="C1" t="s">
        <v>47</v>
      </c>
    </row>
    <row r="2" spans="1:3" x14ac:dyDescent="0.2">
      <c r="A2">
        <v>14</v>
      </c>
      <c r="B2">
        <f xml:space="preserve"> POWER(2, A2)</f>
        <v>16384</v>
      </c>
    </row>
    <row r="3" spans="1:3" x14ac:dyDescent="0.2">
      <c r="A3">
        <v>16</v>
      </c>
      <c r="B3">
        <f t="shared" ref="B3:B5" si="0" xml:space="preserve"> POWER(2, A3)</f>
        <v>65536</v>
      </c>
    </row>
    <row r="4" spans="1:3" x14ac:dyDescent="0.2">
      <c r="A4">
        <v>18</v>
      </c>
      <c r="B4">
        <f t="shared" si="0"/>
        <v>262144</v>
      </c>
    </row>
    <row r="5" spans="1:3" x14ac:dyDescent="0.2">
      <c r="A5">
        <v>20</v>
      </c>
      <c r="B5">
        <f t="shared" si="0"/>
        <v>1048576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B96C-B627-784A-9865-E401BD071BD9}">
  <dimension ref="A1:P5"/>
  <sheetViews>
    <sheetView workbookViewId="0">
      <selection activeCell="O2" sqref="O2:O5"/>
    </sheetView>
  </sheetViews>
  <sheetFormatPr baseColWidth="10" defaultRowHeight="16" x14ac:dyDescent="0.2"/>
  <cols>
    <col min="8" max="9" width="20.83203125" customWidth="1"/>
  </cols>
  <sheetData>
    <row r="1" spans="1:16" x14ac:dyDescent="0.2">
      <c r="A1" t="s">
        <v>31</v>
      </c>
      <c r="B1" t="s">
        <v>0</v>
      </c>
      <c r="C1" t="s">
        <v>25</v>
      </c>
      <c r="D1" t="s">
        <v>32</v>
      </c>
      <c r="E1" t="s">
        <v>10</v>
      </c>
      <c r="F1" t="s">
        <v>11</v>
      </c>
      <c r="G1" t="s">
        <v>12</v>
      </c>
      <c r="H1" t="s">
        <v>26</v>
      </c>
      <c r="I1" t="s">
        <v>37</v>
      </c>
      <c r="J1" t="s">
        <v>35</v>
      </c>
      <c r="K1" t="s">
        <v>30</v>
      </c>
      <c r="L1" t="s">
        <v>33</v>
      </c>
      <c r="M1" t="s">
        <v>34</v>
      </c>
      <c r="N1" t="s">
        <v>27</v>
      </c>
      <c r="O1" t="s">
        <v>50</v>
      </c>
      <c r="P1" t="s">
        <v>51</v>
      </c>
    </row>
    <row r="2" spans="1:16" x14ac:dyDescent="0.2">
      <c r="A2">
        <v>14</v>
      </c>
      <c r="B2">
        <f t="shared" ref="B2:B5" si="0" xml:space="preserve"> POWER(2,A2)</f>
        <v>16384</v>
      </c>
      <c r="C2">
        <f xml:space="preserve"> LOG(B2)</f>
        <v>4.2144199392957367</v>
      </c>
      <c r="D2">
        <v>15</v>
      </c>
      <c r="F2" s="2">
        <v>1.2627999999999999</v>
      </c>
      <c r="G2">
        <f xml:space="preserve">  (B2 * 40 * 128 )/(POWER(2,20))</f>
        <v>80</v>
      </c>
      <c r="H2">
        <v>10.694000000000001</v>
      </c>
      <c r="I2">
        <f xml:space="preserve"> F2</f>
        <v>1.2627999999999999</v>
      </c>
      <c r="J2">
        <f xml:space="preserve"> LOG((F2*1000) + H2 + N2)</f>
        <v>3.105865649798738</v>
      </c>
      <c r="K2">
        <f t="shared" ref="K2:K5" si="1">(1/POWER(B2*10,1/(10-1)))</f>
        <v>0.26340256922266614</v>
      </c>
      <c r="L2">
        <f t="shared" ref="L2:L5" si="2" xml:space="preserve"> POWER(1 - K2 + 2*B2*POWER(K2, 10), D2)</f>
        <v>2.873753461789337E-2</v>
      </c>
      <c r="M2">
        <f t="shared" ref="M2:M5" si="3" xml:space="preserve"> L2*100</f>
        <v>2.8737534617893372</v>
      </c>
      <c r="N2">
        <f xml:space="preserve"> (170 * D2)/1000</f>
        <v>2.5499999999999998</v>
      </c>
      <c r="O2">
        <f xml:space="preserve"> (512 * 20 + 64 * POWER(40,2))/1000</f>
        <v>112.64</v>
      </c>
      <c r="P2">
        <f xml:space="preserve"> LOG(O2)</f>
        <v>2.051692641798037</v>
      </c>
    </row>
    <row r="3" spans="1:16" x14ac:dyDescent="0.2">
      <c r="A3">
        <v>16</v>
      </c>
      <c r="B3">
        <f t="shared" si="0"/>
        <v>65536</v>
      </c>
      <c r="C3">
        <f t="shared" ref="C3:C5" si="4" xml:space="preserve"> LOG(B3)</f>
        <v>4.8164799306236992</v>
      </c>
      <c r="D3">
        <v>15</v>
      </c>
      <c r="F3" s="2">
        <v>1.2627999999999999</v>
      </c>
      <c r="G3">
        <f t="shared" ref="G3:G5" si="5" xml:space="preserve">  (B3 * 40 * 128 )/(POWER(2,20))</f>
        <v>320</v>
      </c>
      <c r="H3">
        <v>10.694000000000001</v>
      </c>
      <c r="I3">
        <f t="shared" ref="I3:I5" si="6" xml:space="preserve"> F3</f>
        <v>1.2627999999999999</v>
      </c>
      <c r="J3">
        <f t="shared" ref="J3:J5" si="7" xml:space="preserve"> LOG((F3*1000) + H3 + N3)</f>
        <v>3.105865649798738</v>
      </c>
      <c r="K3">
        <f t="shared" si="1"/>
        <v>0.22580026753417057</v>
      </c>
      <c r="L3">
        <f t="shared" si="2"/>
        <v>5.0363937429387357E-2</v>
      </c>
      <c r="M3">
        <f t="shared" si="3"/>
        <v>5.0363937429387358</v>
      </c>
      <c r="N3">
        <f t="shared" ref="N3:N5" si="8" xml:space="preserve"> (170 * D3)/1000</f>
        <v>2.5499999999999998</v>
      </c>
      <c r="O3">
        <f t="shared" ref="O3:O5" si="9" xml:space="preserve"> (512 * 20 + 64 * POWER(40,2))/1000</f>
        <v>112.64</v>
      </c>
      <c r="P3">
        <f t="shared" ref="P3:P5" si="10" xml:space="preserve"> LOG(O3)</f>
        <v>2.051692641798037</v>
      </c>
    </row>
    <row r="4" spans="1:16" x14ac:dyDescent="0.2">
      <c r="A4">
        <v>18</v>
      </c>
      <c r="B4">
        <f t="shared" si="0"/>
        <v>262144</v>
      </c>
      <c r="C4">
        <f t="shared" si="4"/>
        <v>5.4185399219516617</v>
      </c>
      <c r="D4">
        <v>15</v>
      </c>
      <c r="F4" s="2">
        <v>1.2627999999999999</v>
      </c>
      <c r="G4">
        <f t="shared" si="5"/>
        <v>1280</v>
      </c>
      <c r="H4">
        <v>10.694000000000001</v>
      </c>
      <c r="I4">
        <f t="shared" si="6"/>
        <v>1.2627999999999999</v>
      </c>
      <c r="J4">
        <f t="shared" si="7"/>
        <v>3.105865649798738</v>
      </c>
      <c r="K4">
        <f t="shared" si="1"/>
        <v>0.1935659206702818</v>
      </c>
      <c r="L4">
        <f t="shared" si="2"/>
        <v>8.0165193240292296E-2</v>
      </c>
      <c r="M4">
        <f t="shared" si="3"/>
        <v>8.016519324029229</v>
      </c>
      <c r="N4">
        <f t="shared" si="8"/>
        <v>2.5499999999999998</v>
      </c>
      <c r="O4">
        <f t="shared" si="9"/>
        <v>112.64</v>
      </c>
      <c r="P4">
        <f t="shared" si="10"/>
        <v>2.051692641798037</v>
      </c>
    </row>
    <row r="5" spans="1:16" x14ac:dyDescent="0.2">
      <c r="A5">
        <v>20</v>
      </c>
      <c r="B5">
        <f t="shared" si="0"/>
        <v>1048576</v>
      </c>
      <c r="C5">
        <f t="shared" si="4"/>
        <v>6.0205999132796242</v>
      </c>
      <c r="D5">
        <v>15</v>
      </c>
      <c r="F5" s="2">
        <v>1.2627999999999999</v>
      </c>
      <c r="G5">
        <f t="shared" si="5"/>
        <v>5120</v>
      </c>
      <c r="H5">
        <v>10.694000000000001</v>
      </c>
      <c r="I5">
        <f t="shared" si="6"/>
        <v>1.2627999999999999</v>
      </c>
      <c r="J5">
        <f t="shared" si="7"/>
        <v>3.105865649798738</v>
      </c>
      <c r="K5">
        <f t="shared" si="1"/>
        <v>0.1659332207800143</v>
      </c>
      <c r="L5">
        <f t="shared" si="2"/>
        <v>0.11808380600570983</v>
      </c>
      <c r="M5">
        <f t="shared" si="3"/>
        <v>11.808380600570983</v>
      </c>
      <c r="N5">
        <f t="shared" si="8"/>
        <v>2.5499999999999998</v>
      </c>
      <c r="O5">
        <f t="shared" si="9"/>
        <v>112.64</v>
      </c>
      <c r="P5">
        <f t="shared" si="10"/>
        <v>2.051692641798037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E6E5-BD8C-AF4B-A76A-53249AB1BD08}">
  <dimension ref="A1:D5"/>
  <sheetViews>
    <sheetView workbookViewId="0">
      <selection activeCell="B1" sqref="B1"/>
    </sheetView>
  </sheetViews>
  <sheetFormatPr baseColWidth="10" defaultRowHeight="16" x14ac:dyDescent="0.2"/>
  <cols>
    <col min="1" max="2" width="22.33203125" customWidth="1"/>
    <col min="3" max="3" width="29.33203125" customWidth="1"/>
    <col min="4" max="4" width="17.6640625" customWidth="1"/>
  </cols>
  <sheetData>
    <row r="1" spans="1:4" x14ac:dyDescent="0.2">
      <c r="A1" t="s">
        <v>0</v>
      </c>
      <c r="B1" t="s">
        <v>25</v>
      </c>
      <c r="C1" t="s">
        <v>38</v>
      </c>
      <c r="D1" t="s">
        <v>39</v>
      </c>
    </row>
    <row r="2" spans="1:4" x14ac:dyDescent="0.2">
      <c r="A2">
        <v>14</v>
      </c>
      <c r="B2">
        <f xml:space="preserve"> LOG(POWER(2, A2))</f>
        <v>4.2144199392957367</v>
      </c>
      <c r="C2">
        <v>50</v>
      </c>
      <c r="D2">
        <v>55</v>
      </c>
    </row>
    <row r="3" spans="1:4" x14ac:dyDescent="0.2">
      <c r="A3">
        <v>16</v>
      </c>
      <c r="B3">
        <f t="shared" ref="B3:B5" si="0" xml:space="preserve"> LOG(POWER(2, A3))</f>
        <v>4.8164799306236992</v>
      </c>
      <c r="C3">
        <v>190</v>
      </c>
      <c r="D3">
        <v>305</v>
      </c>
    </row>
    <row r="4" spans="1:4" x14ac:dyDescent="0.2">
      <c r="A4">
        <v>18</v>
      </c>
      <c r="B4">
        <f t="shared" si="0"/>
        <v>5.4185399219516617</v>
      </c>
      <c r="C4">
        <v>400</v>
      </c>
      <c r="D4">
        <v>900</v>
      </c>
    </row>
    <row r="5" spans="1:4" x14ac:dyDescent="0.2">
      <c r="A5">
        <v>20</v>
      </c>
      <c r="B5">
        <f t="shared" si="0"/>
        <v>6.0205999132796242</v>
      </c>
      <c r="C5">
        <v>1275</v>
      </c>
      <c r="D5">
        <v>2879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BCBF-6EF3-1445-9DED-0172DC278AF2}">
  <dimension ref="A1:O26"/>
  <sheetViews>
    <sheetView workbookViewId="0">
      <selection activeCell="A23" sqref="A23:XFD26"/>
    </sheetView>
  </sheetViews>
  <sheetFormatPr baseColWidth="10" defaultRowHeight="16" x14ac:dyDescent="0.2"/>
  <cols>
    <col min="1" max="3" width="29" customWidth="1"/>
    <col min="4" max="4" width="23.5" customWidth="1"/>
    <col min="5" max="5" width="21.6640625" customWidth="1"/>
    <col min="8" max="8" width="14.5" customWidth="1"/>
    <col min="9" max="9" width="35.5" customWidth="1"/>
    <col min="10" max="12" width="32.33203125" customWidth="1"/>
    <col min="13" max="15" width="14.5" customWidth="1"/>
  </cols>
  <sheetData>
    <row r="1" spans="1:15" x14ac:dyDescent="0.2">
      <c r="A1" t="s">
        <v>31</v>
      </c>
      <c r="B1" t="s">
        <v>0</v>
      </c>
      <c r="D1" t="s">
        <v>32</v>
      </c>
      <c r="E1" t="s">
        <v>10</v>
      </c>
      <c r="F1" t="s">
        <v>11</v>
      </c>
      <c r="G1" t="s">
        <v>12</v>
      </c>
      <c r="H1" t="s">
        <v>26</v>
      </c>
      <c r="I1" t="s">
        <v>28</v>
      </c>
      <c r="J1" t="s">
        <v>30</v>
      </c>
      <c r="K1" t="s">
        <v>33</v>
      </c>
      <c r="L1" t="s">
        <v>34</v>
      </c>
      <c r="M1" t="s">
        <v>29</v>
      </c>
      <c r="N1" t="s">
        <v>22</v>
      </c>
      <c r="O1" t="s">
        <v>27</v>
      </c>
    </row>
    <row r="2" spans="1:15" x14ac:dyDescent="0.2">
      <c r="A2">
        <v>14</v>
      </c>
      <c r="B2">
        <f xml:space="preserve"> POWER(2,A2)</f>
        <v>16384</v>
      </c>
      <c r="D2">
        <v>10</v>
      </c>
      <c r="F2">
        <v>23.4</v>
      </c>
      <c r="H2">
        <v>6563</v>
      </c>
      <c r="I2">
        <f xml:space="preserve"> LOG((F2*1000) + H2)</f>
        <v>4.4765852942817315</v>
      </c>
      <c r="J2">
        <f>(1/POWER(B2*10,1/(10-1)))</f>
        <v>0.26340256922266614</v>
      </c>
      <c r="K2">
        <f xml:space="preserve"> POWER(1 - J2 + 2*B2*POWER(J2, 10), D2)</f>
        <v>9.3820916616718514E-2</v>
      </c>
      <c r="L2">
        <f xml:space="preserve"> K2*100</f>
        <v>9.3820916616718506</v>
      </c>
    </row>
    <row r="3" spans="1:15" x14ac:dyDescent="0.2">
      <c r="A3">
        <v>16</v>
      </c>
      <c r="B3">
        <f t="shared" ref="B3:B26" si="0" xml:space="preserve"> POWER(2,A3)</f>
        <v>65536</v>
      </c>
      <c r="D3">
        <v>10</v>
      </c>
      <c r="F3">
        <v>24.1</v>
      </c>
      <c r="H3">
        <v>6563</v>
      </c>
      <c r="I3">
        <f t="shared" ref="I3:I26" si="1" xml:space="preserve"> LOG((F3*1000) + H3)</f>
        <v>4.4866146430072025</v>
      </c>
      <c r="J3">
        <f t="shared" ref="J3:J26" si="2">(1/POWER(B3*10,1/(10-1)))</f>
        <v>0.22580026753417057</v>
      </c>
      <c r="K3">
        <f t="shared" ref="K3:K26" si="3" xml:space="preserve"> POWER(1 - J3 + 2*B3*POWER(J3, 10), D3)</f>
        <v>0.1363786699035453</v>
      </c>
      <c r="L3">
        <f t="shared" ref="L3:L26" si="4" xml:space="preserve"> K3*100</f>
        <v>13.63786699035453</v>
      </c>
    </row>
    <row r="4" spans="1:15" x14ac:dyDescent="0.2">
      <c r="A4">
        <v>18</v>
      </c>
      <c r="B4">
        <f t="shared" si="0"/>
        <v>262144</v>
      </c>
      <c r="D4">
        <v>10</v>
      </c>
      <c r="F4">
        <v>26.3</v>
      </c>
      <c r="H4">
        <v>6563</v>
      </c>
      <c r="I4">
        <f t="shared" si="1"/>
        <v>4.5167072068158731</v>
      </c>
      <c r="J4">
        <f t="shared" si="2"/>
        <v>0.1935659206702818</v>
      </c>
      <c r="K4">
        <f t="shared" si="3"/>
        <v>0.18591905183094035</v>
      </c>
      <c r="L4">
        <f t="shared" si="4"/>
        <v>18.591905183094035</v>
      </c>
    </row>
    <row r="5" spans="1:15" x14ac:dyDescent="0.2">
      <c r="A5">
        <v>20</v>
      </c>
      <c r="B5">
        <f t="shared" si="0"/>
        <v>1048576</v>
      </c>
      <c r="D5">
        <v>10</v>
      </c>
      <c r="F5">
        <v>25.9</v>
      </c>
      <c r="H5">
        <v>6563</v>
      </c>
      <c r="I5">
        <f t="shared" si="1"/>
        <v>4.511388651757688</v>
      </c>
      <c r="J5">
        <f t="shared" si="2"/>
        <v>0.1659332207800143</v>
      </c>
      <c r="K5">
        <f t="shared" si="3"/>
        <v>0.24069120900598664</v>
      </c>
      <c r="L5">
        <f t="shared" si="4"/>
        <v>24.069120900598666</v>
      </c>
    </row>
    <row r="6" spans="1:15" x14ac:dyDescent="0.2">
      <c r="A6">
        <v>21</v>
      </c>
      <c r="B6">
        <f t="shared" si="0"/>
        <v>2097152</v>
      </c>
      <c r="D6">
        <v>10</v>
      </c>
      <c r="H6">
        <v>6563</v>
      </c>
      <c r="I6">
        <f t="shared" si="1"/>
        <v>3.8171024042569233</v>
      </c>
      <c r="J6">
        <f t="shared" si="2"/>
        <v>0.15363337304859914</v>
      </c>
      <c r="K6">
        <f t="shared" si="3"/>
        <v>0.26943743954811294</v>
      </c>
      <c r="L6">
        <f t="shared" si="4"/>
        <v>26.943743954811296</v>
      </c>
    </row>
    <row r="7" spans="1:15" x14ac:dyDescent="0.2">
      <c r="A7">
        <v>22</v>
      </c>
      <c r="B7">
        <f t="shared" si="0"/>
        <v>4194304</v>
      </c>
      <c r="D7">
        <v>10</v>
      </c>
      <c r="H7">
        <v>6563</v>
      </c>
      <c r="I7">
        <f t="shared" si="1"/>
        <v>3.8171024042569233</v>
      </c>
      <c r="J7">
        <f t="shared" si="2"/>
        <v>0.14224525506909774</v>
      </c>
      <c r="K7">
        <f t="shared" si="3"/>
        <v>0.29876936184651037</v>
      </c>
      <c r="L7">
        <f t="shared" si="4"/>
        <v>29.876936184651036</v>
      </c>
    </row>
    <row r="8" spans="1:15" x14ac:dyDescent="0.2">
      <c r="A8">
        <v>23</v>
      </c>
      <c r="B8">
        <f t="shared" si="0"/>
        <v>8388608</v>
      </c>
      <c r="D8">
        <v>10</v>
      </c>
      <c r="H8">
        <v>6563</v>
      </c>
      <c r="I8">
        <f t="shared" si="1"/>
        <v>3.8171024042569233</v>
      </c>
      <c r="J8">
        <f t="shared" si="2"/>
        <v>0.13170128461133307</v>
      </c>
      <c r="K8">
        <f t="shared" si="3"/>
        <v>0.32845670367873997</v>
      </c>
      <c r="L8">
        <f t="shared" si="4"/>
        <v>32.845670367874</v>
      </c>
    </row>
    <row r="9" spans="1:15" x14ac:dyDescent="0.2">
      <c r="A9">
        <v>14</v>
      </c>
      <c r="B9">
        <f t="shared" si="0"/>
        <v>16384</v>
      </c>
      <c r="D9">
        <v>15</v>
      </c>
      <c r="F9">
        <v>31</v>
      </c>
      <c r="H9">
        <v>9857</v>
      </c>
      <c r="I9">
        <f t="shared" si="1"/>
        <v>4.6112664745999572</v>
      </c>
      <c r="J9">
        <f t="shared" si="2"/>
        <v>0.26340256922266614</v>
      </c>
      <c r="K9">
        <f t="shared" si="3"/>
        <v>2.873753461789337E-2</v>
      </c>
      <c r="L9">
        <f t="shared" si="4"/>
        <v>2.8737534617893372</v>
      </c>
    </row>
    <row r="10" spans="1:15" x14ac:dyDescent="0.2">
      <c r="A10">
        <v>16</v>
      </c>
      <c r="B10">
        <f t="shared" si="0"/>
        <v>65536</v>
      </c>
      <c r="D10">
        <v>15</v>
      </c>
      <c r="F10">
        <v>37</v>
      </c>
      <c r="H10">
        <v>9857</v>
      </c>
      <c r="I10">
        <f t="shared" si="1"/>
        <v>4.6707744796268615</v>
      </c>
      <c r="J10">
        <f t="shared" si="2"/>
        <v>0.22580026753417057</v>
      </c>
      <c r="K10">
        <f t="shared" si="3"/>
        <v>5.0363937429387357E-2</v>
      </c>
      <c r="L10">
        <f t="shared" si="4"/>
        <v>5.0363937429387358</v>
      </c>
    </row>
    <row r="11" spans="1:15" x14ac:dyDescent="0.2">
      <c r="A11">
        <v>18</v>
      </c>
      <c r="B11">
        <f t="shared" si="0"/>
        <v>262144</v>
      </c>
      <c r="D11">
        <v>15</v>
      </c>
      <c r="F11">
        <v>37</v>
      </c>
      <c r="H11">
        <v>9857</v>
      </c>
      <c r="I11">
        <f t="shared" si="1"/>
        <v>4.6707744796268615</v>
      </c>
      <c r="J11">
        <f t="shared" si="2"/>
        <v>0.1935659206702818</v>
      </c>
      <c r="K11">
        <f t="shared" si="3"/>
        <v>8.0165193240292296E-2</v>
      </c>
      <c r="L11">
        <f t="shared" si="4"/>
        <v>8.016519324029229</v>
      </c>
    </row>
    <row r="12" spans="1:15" x14ac:dyDescent="0.2">
      <c r="A12">
        <v>20</v>
      </c>
      <c r="B12">
        <f t="shared" si="0"/>
        <v>1048576</v>
      </c>
      <c r="D12">
        <v>15</v>
      </c>
      <c r="F12">
        <v>43</v>
      </c>
      <c r="H12">
        <v>9857</v>
      </c>
      <c r="I12">
        <f t="shared" si="1"/>
        <v>4.7231025102822821</v>
      </c>
      <c r="J12">
        <f t="shared" si="2"/>
        <v>0.1659332207800143</v>
      </c>
      <c r="K12">
        <f t="shared" si="3"/>
        <v>0.11808380600570983</v>
      </c>
      <c r="L12">
        <f t="shared" si="4"/>
        <v>11.808380600570983</v>
      </c>
      <c r="M12">
        <v>27.5</v>
      </c>
      <c r="N12">
        <f xml:space="preserve"> LOG(M12*1000)</f>
        <v>4.4393326938302629</v>
      </c>
    </row>
    <row r="13" spans="1:15" x14ac:dyDescent="0.2">
      <c r="A13">
        <v>21</v>
      </c>
      <c r="B13">
        <f t="shared" si="0"/>
        <v>2097152</v>
      </c>
      <c r="D13">
        <v>15</v>
      </c>
      <c r="H13">
        <v>9857</v>
      </c>
      <c r="I13">
        <f t="shared" si="1"/>
        <v>3.9937447565544621</v>
      </c>
      <c r="J13">
        <f t="shared" si="2"/>
        <v>0.15363337304859914</v>
      </c>
      <c r="K13">
        <f t="shared" si="3"/>
        <v>0.13985787140983033</v>
      </c>
      <c r="L13">
        <f t="shared" si="4"/>
        <v>13.985787140983033</v>
      </c>
      <c r="M13">
        <v>27.5</v>
      </c>
      <c r="N13">
        <f t="shared" ref="N13:N15" si="5" xml:space="preserve"> LOG(M13*1000)</f>
        <v>4.4393326938302629</v>
      </c>
    </row>
    <row r="14" spans="1:15" x14ac:dyDescent="0.2">
      <c r="A14">
        <v>22</v>
      </c>
      <c r="B14">
        <f t="shared" si="0"/>
        <v>4194304</v>
      </c>
      <c r="D14">
        <v>15</v>
      </c>
      <c r="H14">
        <v>9857</v>
      </c>
      <c r="I14">
        <f t="shared" si="1"/>
        <v>3.9937447565544621</v>
      </c>
      <c r="J14">
        <f t="shared" si="2"/>
        <v>0.14224525506909774</v>
      </c>
      <c r="K14">
        <f t="shared" si="3"/>
        <v>0.16330673243326879</v>
      </c>
      <c r="L14">
        <f t="shared" si="4"/>
        <v>16.330673243326878</v>
      </c>
      <c r="M14">
        <v>27.7</v>
      </c>
      <c r="N14">
        <f t="shared" si="5"/>
        <v>4.4424797690644482</v>
      </c>
    </row>
    <row r="15" spans="1:15" x14ac:dyDescent="0.2">
      <c r="A15">
        <v>23</v>
      </c>
      <c r="B15">
        <f t="shared" si="0"/>
        <v>8388608</v>
      </c>
      <c r="D15">
        <v>15</v>
      </c>
      <c r="H15">
        <v>9857</v>
      </c>
      <c r="I15">
        <f t="shared" si="1"/>
        <v>3.9937447565544621</v>
      </c>
      <c r="J15">
        <f t="shared" si="2"/>
        <v>0.13170128461133307</v>
      </c>
      <c r="K15">
        <f t="shared" si="3"/>
        <v>0.18824228898411033</v>
      </c>
      <c r="L15">
        <f t="shared" si="4"/>
        <v>18.824228898411032</v>
      </c>
      <c r="M15">
        <v>28.3</v>
      </c>
      <c r="N15">
        <f t="shared" si="5"/>
        <v>4.4517864355242907</v>
      </c>
    </row>
    <row r="16" spans="1:15" x14ac:dyDescent="0.2">
      <c r="A16">
        <v>14</v>
      </c>
      <c r="B16">
        <f t="shared" si="0"/>
        <v>16384</v>
      </c>
      <c r="D16">
        <v>20</v>
      </c>
      <c r="E16">
        <v>573</v>
      </c>
      <c r="F16">
        <v>57</v>
      </c>
      <c r="G16">
        <v>0.46</v>
      </c>
      <c r="H16">
        <v>13129</v>
      </c>
      <c r="I16">
        <f t="shared" si="1"/>
        <v>4.8458976461484857</v>
      </c>
      <c r="J16">
        <f t="shared" si="2"/>
        <v>0.26340256922266614</v>
      </c>
      <c r="K16">
        <f t="shared" si="3"/>
        <v>8.802364394801249E-3</v>
      </c>
      <c r="L16">
        <f t="shared" si="4"/>
        <v>0.88023643948012487</v>
      </c>
    </row>
    <row r="17" spans="1:12" x14ac:dyDescent="0.2">
      <c r="A17">
        <v>16</v>
      </c>
      <c r="B17">
        <f t="shared" si="0"/>
        <v>65536</v>
      </c>
      <c r="D17">
        <v>20</v>
      </c>
      <c r="E17">
        <v>139</v>
      </c>
      <c r="F17">
        <v>62</v>
      </c>
      <c r="G17">
        <v>0.11</v>
      </c>
      <c r="H17">
        <v>13129</v>
      </c>
      <c r="I17">
        <f t="shared" si="1"/>
        <v>4.8758076082278556</v>
      </c>
      <c r="J17">
        <f t="shared" si="2"/>
        <v>0.22580026753417057</v>
      </c>
      <c r="K17">
        <f t="shared" si="3"/>
        <v>1.8599141604660172E-2</v>
      </c>
      <c r="L17">
        <f t="shared" si="4"/>
        <v>1.8599141604660172</v>
      </c>
    </row>
    <row r="18" spans="1:12" x14ac:dyDescent="0.2">
      <c r="A18">
        <v>18</v>
      </c>
      <c r="B18">
        <f t="shared" si="0"/>
        <v>262144</v>
      </c>
      <c r="D18">
        <v>20</v>
      </c>
      <c r="E18">
        <v>632</v>
      </c>
      <c r="F18">
        <v>62</v>
      </c>
      <c r="H18">
        <v>13129</v>
      </c>
      <c r="I18">
        <f t="shared" si="1"/>
        <v>4.8758076082278556</v>
      </c>
      <c r="J18">
        <f t="shared" si="2"/>
        <v>0.1935659206702818</v>
      </c>
      <c r="K18">
        <f t="shared" si="3"/>
        <v>3.4565893833715888E-2</v>
      </c>
      <c r="L18">
        <f t="shared" si="4"/>
        <v>3.4565893833715888</v>
      </c>
    </row>
    <row r="19" spans="1:12" x14ac:dyDescent="0.2">
      <c r="A19">
        <v>20</v>
      </c>
      <c r="B19">
        <f t="shared" si="0"/>
        <v>1048576</v>
      </c>
      <c r="D19">
        <v>20</v>
      </c>
      <c r="E19">
        <v>3913</v>
      </c>
      <c r="F19">
        <v>60</v>
      </c>
      <c r="H19">
        <v>13129</v>
      </c>
      <c r="I19">
        <f t="shared" si="1"/>
        <v>4.8640896347198685</v>
      </c>
      <c r="J19">
        <f t="shared" si="2"/>
        <v>0.1659332207800143</v>
      </c>
      <c r="K19">
        <f t="shared" si="3"/>
        <v>5.793225809276354E-2</v>
      </c>
      <c r="L19">
        <f t="shared" si="4"/>
        <v>5.793225809276354</v>
      </c>
    </row>
    <row r="20" spans="1:12" x14ac:dyDescent="0.2">
      <c r="A20">
        <v>21</v>
      </c>
      <c r="B20">
        <f t="shared" si="0"/>
        <v>2097152</v>
      </c>
      <c r="D20">
        <v>20</v>
      </c>
      <c r="H20">
        <v>13129</v>
      </c>
      <c r="J20">
        <f t="shared" si="2"/>
        <v>0.15363337304859914</v>
      </c>
      <c r="K20">
        <f t="shared" si="3"/>
        <v>7.2596533830243018E-2</v>
      </c>
      <c r="L20">
        <f t="shared" si="4"/>
        <v>7.2596533830243022</v>
      </c>
    </row>
    <row r="21" spans="1:12" x14ac:dyDescent="0.2">
      <c r="A21">
        <v>22</v>
      </c>
      <c r="B21">
        <f t="shared" si="0"/>
        <v>4194304</v>
      </c>
      <c r="D21">
        <v>20</v>
      </c>
      <c r="H21">
        <v>13129</v>
      </c>
      <c r="J21">
        <f t="shared" si="2"/>
        <v>0.14224525506909774</v>
      </c>
      <c r="K21">
        <f t="shared" si="3"/>
        <v>8.9263131578171034E-2</v>
      </c>
      <c r="L21">
        <f t="shared" si="4"/>
        <v>8.9263131578171038</v>
      </c>
    </row>
    <row r="22" spans="1:12" x14ac:dyDescent="0.2">
      <c r="A22">
        <v>23</v>
      </c>
      <c r="B22">
        <f t="shared" si="0"/>
        <v>8388608</v>
      </c>
      <c r="D22">
        <v>20</v>
      </c>
      <c r="H22">
        <v>13129</v>
      </c>
      <c r="J22">
        <f t="shared" si="2"/>
        <v>0.13170128461133307</v>
      </c>
      <c r="K22">
        <f t="shared" si="3"/>
        <v>0.10788380619150359</v>
      </c>
      <c r="L22">
        <f t="shared" si="4"/>
        <v>10.78838061915036</v>
      </c>
    </row>
    <row r="23" spans="1:12" x14ac:dyDescent="0.2">
      <c r="A23">
        <v>14</v>
      </c>
      <c r="B23">
        <f t="shared" si="0"/>
        <v>16384</v>
      </c>
      <c r="D23">
        <v>25</v>
      </c>
      <c r="E23">
        <v>43</v>
      </c>
      <c r="F23">
        <v>57</v>
      </c>
      <c r="G23">
        <v>0.03</v>
      </c>
      <c r="H23">
        <v>16404</v>
      </c>
      <c r="I23">
        <f t="shared" si="1"/>
        <v>4.8657197265454268</v>
      </c>
      <c r="J23">
        <f t="shared" si="2"/>
        <v>0.26340256922266614</v>
      </c>
      <c r="K23">
        <f t="shared" si="3"/>
        <v>2.6961818391554363E-3</v>
      </c>
      <c r="L23">
        <f t="shared" si="4"/>
        <v>0.26961818391554365</v>
      </c>
    </row>
    <row r="24" spans="1:12" x14ac:dyDescent="0.2">
      <c r="A24">
        <v>16</v>
      </c>
      <c r="B24">
        <f t="shared" si="0"/>
        <v>65536</v>
      </c>
      <c r="D24">
        <v>25</v>
      </c>
      <c r="E24">
        <v>185</v>
      </c>
      <c r="F24">
        <v>58</v>
      </c>
      <c r="G24">
        <v>0.14000000000000001</v>
      </c>
      <c r="H24">
        <v>16404</v>
      </c>
      <c r="I24">
        <f t="shared" si="1"/>
        <v>4.8715962840839291</v>
      </c>
      <c r="J24">
        <f t="shared" si="2"/>
        <v>0.22580026753417057</v>
      </c>
      <c r="K24">
        <f t="shared" si="3"/>
        <v>6.8685667977252283E-3</v>
      </c>
      <c r="L24">
        <f t="shared" si="4"/>
        <v>0.68685667977252285</v>
      </c>
    </row>
    <row r="25" spans="1:12" x14ac:dyDescent="0.2">
      <c r="A25">
        <v>18</v>
      </c>
      <c r="B25">
        <f t="shared" si="0"/>
        <v>262144</v>
      </c>
      <c r="D25">
        <v>25</v>
      </c>
      <c r="E25">
        <v>310</v>
      </c>
      <c r="F25">
        <v>60</v>
      </c>
      <c r="G25">
        <v>0.56999999999999995</v>
      </c>
      <c r="H25">
        <v>16404</v>
      </c>
      <c r="I25">
        <f t="shared" si="1"/>
        <v>4.8831160959114666</v>
      </c>
      <c r="J25">
        <f t="shared" si="2"/>
        <v>0.1935659206702818</v>
      </c>
      <c r="K25">
        <f t="shared" si="3"/>
        <v>1.4904236717079253E-2</v>
      </c>
      <c r="L25">
        <f t="shared" si="4"/>
        <v>1.4904236717079253</v>
      </c>
    </row>
    <row r="26" spans="1:12" x14ac:dyDescent="0.2">
      <c r="A26">
        <v>20</v>
      </c>
      <c r="B26">
        <f t="shared" si="0"/>
        <v>1048576</v>
      </c>
      <c r="D26">
        <v>25</v>
      </c>
      <c r="E26">
        <v>3760</v>
      </c>
      <c r="F26">
        <v>60</v>
      </c>
      <c r="G26">
        <v>2.2000000000000002</v>
      </c>
      <c r="H26">
        <v>16404</v>
      </c>
      <c r="I26">
        <f t="shared" si="1"/>
        <v>4.8831160959114666</v>
      </c>
      <c r="J26">
        <f t="shared" si="2"/>
        <v>0.1659332207800143</v>
      </c>
      <c r="K26">
        <f t="shared" si="3"/>
        <v>2.8421734031542686E-2</v>
      </c>
      <c r="L26">
        <f t="shared" si="4"/>
        <v>2.8421734031542685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E2E2-A144-F94B-ACE3-7D02EE793034}">
  <dimension ref="A1:E3"/>
  <sheetViews>
    <sheetView workbookViewId="0">
      <selection activeCell="D2" sqref="D2"/>
    </sheetView>
  </sheetViews>
  <sheetFormatPr baseColWidth="10" defaultRowHeight="16" x14ac:dyDescent="0.2"/>
  <cols>
    <col min="2" max="2" width="24.33203125" customWidth="1"/>
    <col min="3" max="4" width="22.6640625" customWidth="1"/>
    <col min="5" max="5" width="16.5" customWidth="1"/>
    <col min="6" max="6" width="35.1640625" customWidth="1"/>
  </cols>
  <sheetData>
    <row r="1" spans="1:5" x14ac:dyDescent="0.2">
      <c r="A1" t="s">
        <v>0</v>
      </c>
      <c r="B1" t="s">
        <v>19</v>
      </c>
      <c r="C1" t="s">
        <v>18</v>
      </c>
      <c r="D1" t="s">
        <v>21</v>
      </c>
      <c r="E1" t="s">
        <v>20</v>
      </c>
    </row>
    <row r="2" spans="1:5" x14ac:dyDescent="0.2">
      <c r="A2">
        <v>100</v>
      </c>
      <c r="B2">
        <v>65</v>
      </c>
      <c r="C2">
        <v>127</v>
      </c>
      <c r="D2">
        <f xml:space="preserve"> LOG(B2)</f>
        <v>1.8129133566428555</v>
      </c>
      <c r="E2">
        <f xml:space="preserve"> LOG(C2)</f>
        <v>2.1038037209559568</v>
      </c>
    </row>
    <row r="3" spans="1:5" x14ac:dyDescent="0.2">
      <c r="A3">
        <v>1000</v>
      </c>
      <c r="B3">
        <v>65</v>
      </c>
      <c r="C3">
        <v>1500</v>
      </c>
      <c r="D3">
        <f t="shared" ref="D3" si="0" xml:space="preserve"> LOG(B3)</f>
        <v>1.8129133566428555</v>
      </c>
      <c r="E3">
        <f t="shared" ref="E3" si="1" xml:space="preserve"> LOG(C3)</f>
        <v>3.1760912590556813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E277-4EB4-AE43-B7B8-FA0206BA80AC}">
  <dimension ref="A1:E3"/>
  <sheetViews>
    <sheetView zoomScale="66" workbookViewId="0">
      <selection activeCell="C3" sqref="C3"/>
    </sheetView>
  </sheetViews>
  <sheetFormatPr baseColWidth="10" defaultRowHeight="16" x14ac:dyDescent="0.2"/>
  <cols>
    <col min="1" max="1" width="43.33203125" customWidth="1"/>
    <col min="2" max="2" width="24.5" customWidth="1"/>
    <col min="3" max="3" width="27.83203125" customWidth="1"/>
    <col min="4" max="5" width="29" customWidth="1"/>
  </cols>
  <sheetData>
    <row r="1" spans="1:5" x14ac:dyDescent="0.2">
      <c r="A1" t="s">
        <v>0</v>
      </c>
      <c r="B1" t="s">
        <v>19</v>
      </c>
      <c r="C1" t="s">
        <v>18</v>
      </c>
      <c r="D1" t="s">
        <v>21</v>
      </c>
      <c r="E1" t="s">
        <v>20</v>
      </c>
    </row>
    <row r="2" spans="1:5" x14ac:dyDescent="0.2">
      <c r="A2">
        <v>100</v>
      </c>
      <c r="B2">
        <v>32</v>
      </c>
      <c r="C2">
        <v>59</v>
      </c>
      <c r="D2">
        <f xml:space="preserve"> LOG(B2)</f>
        <v>1.505149978319906</v>
      </c>
      <c r="E2">
        <f xml:space="preserve"> LOG(C2)</f>
        <v>1.7708520116421442</v>
      </c>
    </row>
    <row r="3" spans="1:5" x14ac:dyDescent="0.2">
      <c r="A3">
        <v>1000</v>
      </c>
      <c r="B3">
        <v>32</v>
      </c>
      <c r="C3">
        <v>893</v>
      </c>
      <c r="D3">
        <f t="shared" ref="D3" si="0" xml:space="preserve"> LOG(B3)</f>
        <v>1.505149978319906</v>
      </c>
      <c r="E3">
        <f xml:space="preserve"> LOG(C3)</f>
        <v>2.9508514588885464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1C71-CA99-AE4F-9F1A-884310C47548}">
  <dimension ref="A1:G17"/>
  <sheetViews>
    <sheetView workbookViewId="0">
      <selection activeCell="B7" sqref="B1:B7"/>
    </sheetView>
  </sheetViews>
  <sheetFormatPr baseColWidth="10" defaultRowHeight="16" x14ac:dyDescent="0.2"/>
  <cols>
    <col min="2" max="2" width="10.6640625" customWidth="1"/>
    <col min="3" max="3" width="15.33203125" customWidth="1"/>
    <col min="4" max="4" width="26.83203125" customWidth="1"/>
    <col min="5" max="5" width="23" customWidth="1"/>
    <col min="6" max="6" width="22.5" customWidth="1"/>
    <col min="7" max="7" width="29.83203125" customWidth="1"/>
  </cols>
  <sheetData>
    <row r="1" spans="1:7" x14ac:dyDescent="0.2">
      <c r="A1" t="s">
        <v>0</v>
      </c>
      <c r="B1" t="s">
        <v>6</v>
      </c>
      <c r="C1" t="s">
        <v>18</v>
      </c>
      <c r="D1" t="s">
        <v>20</v>
      </c>
      <c r="E1" t="s">
        <v>17</v>
      </c>
      <c r="F1" t="s">
        <v>19</v>
      </c>
      <c r="G1" t="s">
        <v>21</v>
      </c>
    </row>
    <row r="2" spans="1:7" x14ac:dyDescent="0.2">
      <c r="A2">
        <v>64</v>
      </c>
      <c r="B2">
        <f xml:space="preserve"> LOG(A2, 2)</f>
        <v>6</v>
      </c>
      <c r="C2">
        <v>0.13</v>
      </c>
      <c r="F2">
        <v>7.0000000000000001E-3</v>
      </c>
    </row>
    <row r="3" spans="1:7" x14ac:dyDescent="0.2">
      <c r="A3">
        <v>128</v>
      </c>
      <c r="B3">
        <f t="shared" ref="B3:B5" si="0" xml:space="preserve"> LOG(A3, 2)</f>
        <v>7</v>
      </c>
      <c r="C3">
        <v>0.28999999999999998</v>
      </c>
      <c r="F3">
        <v>7.0000000000000001E-3</v>
      </c>
    </row>
    <row r="4" spans="1:7" x14ac:dyDescent="0.2">
      <c r="A4">
        <v>256</v>
      </c>
      <c r="B4">
        <f t="shared" si="0"/>
        <v>8</v>
      </c>
      <c r="C4">
        <v>0.64</v>
      </c>
      <c r="F4">
        <v>7.0000000000000001E-3</v>
      </c>
    </row>
    <row r="5" spans="1:7" x14ac:dyDescent="0.2">
      <c r="A5">
        <v>512</v>
      </c>
      <c r="B5">
        <f t="shared" si="0"/>
        <v>9</v>
      </c>
      <c r="C5">
        <v>1.5</v>
      </c>
      <c r="F5">
        <v>7.0000000000000001E-3</v>
      </c>
    </row>
    <row r="6" spans="1:7" x14ac:dyDescent="0.2">
      <c r="A6">
        <v>1000</v>
      </c>
      <c r="B6">
        <f xml:space="preserve"> ROUND(LOG(A6, 2),1)</f>
        <v>10</v>
      </c>
      <c r="C6">
        <v>3.5</v>
      </c>
      <c r="D6">
        <f>LOG( C6*1000)</f>
        <v>3.5440680443502757</v>
      </c>
      <c r="E6">
        <f>1/C6</f>
        <v>0.2857142857142857</v>
      </c>
      <c r="F6">
        <v>7.0000000000000001E-3</v>
      </c>
      <c r="G6">
        <f>LOG(F6)</f>
        <v>-2.1549019599857431</v>
      </c>
    </row>
    <row r="7" spans="1:7" x14ac:dyDescent="0.2">
      <c r="A7">
        <v>5000</v>
      </c>
      <c r="B7">
        <f t="shared" ref="B7:B17" si="1" xml:space="preserve"> ROUND(LOG(A7, 2),1)</f>
        <v>12.3</v>
      </c>
      <c r="C7">
        <v>21.4</v>
      </c>
      <c r="D7">
        <f t="shared" ref="D7:D17" si="2">LOG( C7*1000)</f>
        <v>4.330413773349191</v>
      </c>
      <c r="E7">
        <f t="shared" ref="E7:E17" si="3">1/C7</f>
        <v>4.6728971962616828E-2</v>
      </c>
      <c r="F7">
        <v>7.0000000000000001E-3</v>
      </c>
      <c r="G7">
        <f t="shared" ref="G7:G17" si="4">LOG(F7)</f>
        <v>-2.1549019599857431</v>
      </c>
    </row>
    <row r="8" spans="1:7" x14ac:dyDescent="0.2">
      <c r="A8">
        <v>10000</v>
      </c>
      <c r="B8">
        <f t="shared" si="1"/>
        <v>13.3</v>
      </c>
      <c r="C8">
        <v>47</v>
      </c>
      <c r="D8">
        <f t="shared" si="2"/>
        <v>4.6720978579357171</v>
      </c>
      <c r="E8">
        <f t="shared" si="3"/>
        <v>2.1276595744680851E-2</v>
      </c>
      <c r="F8">
        <v>7.0000000000000001E-3</v>
      </c>
      <c r="G8">
        <f t="shared" si="4"/>
        <v>-2.1549019599857431</v>
      </c>
    </row>
    <row r="9" spans="1:7" x14ac:dyDescent="0.2">
      <c r="A9">
        <v>20000</v>
      </c>
      <c r="B9">
        <f t="shared" si="1"/>
        <v>14.3</v>
      </c>
      <c r="C9">
        <v>100.4</v>
      </c>
      <c r="D9">
        <f t="shared" si="2"/>
        <v>5.0017337128090009</v>
      </c>
      <c r="E9">
        <f t="shared" si="3"/>
        <v>9.9601593625498006E-3</v>
      </c>
      <c r="F9">
        <v>7.0000000000000001E-3</v>
      </c>
      <c r="G9">
        <f t="shared" si="4"/>
        <v>-2.1549019599857431</v>
      </c>
    </row>
    <row r="10" spans="1:7" x14ac:dyDescent="0.2">
      <c r="A10">
        <v>30000</v>
      </c>
      <c r="B10">
        <f t="shared" si="1"/>
        <v>14.9</v>
      </c>
      <c r="C10">
        <v>156.6</v>
      </c>
      <c r="D10">
        <f t="shared" si="2"/>
        <v>5.1947917577219247</v>
      </c>
      <c r="E10">
        <f t="shared" si="3"/>
        <v>6.3856960408684551E-3</v>
      </c>
      <c r="F10">
        <v>7.0000000000000001E-3</v>
      </c>
      <c r="G10">
        <f t="shared" si="4"/>
        <v>-2.1549019599857431</v>
      </c>
    </row>
    <row r="11" spans="1:7" x14ac:dyDescent="0.2">
      <c r="A11" s="1">
        <v>40000</v>
      </c>
      <c r="B11">
        <f t="shared" si="1"/>
        <v>15.3</v>
      </c>
      <c r="C11" s="1">
        <v>214.2</v>
      </c>
      <c r="D11">
        <f t="shared" si="2"/>
        <v>5.3308194664958366</v>
      </c>
      <c r="E11">
        <f t="shared" si="3"/>
        <v>4.6685340802987861E-3</v>
      </c>
      <c r="F11">
        <v>7.0000000000000001E-3</v>
      </c>
      <c r="G11">
        <f t="shared" si="4"/>
        <v>-2.1549019599857431</v>
      </c>
    </row>
    <row r="12" spans="1:7" x14ac:dyDescent="0.2">
      <c r="A12" s="1">
        <v>50000</v>
      </c>
      <c r="B12">
        <f t="shared" si="1"/>
        <v>15.6</v>
      </c>
      <c r="C12" s="1">
        <v>274.2</v>
      </c>
      <c r="D12">
        <f t="shared" si="2"/>
        <v>5.4380674504534943</v>
      </c>
      <c r="E12">
        <f t="shared" si="3"/>
        <v>3.6469730123997084E-3</v>
      </c>
      <c r="F12">
        <v>7.0000000000000001E-3</v>
      </c>
      <c r="G12">
        <f t="shared" si="4"/>
        <v>-2.1549019599857431</v>
      </c>
    </row>
    <row r="13" spans="1:7" x14ac:dyDescent="0.2">
      <c r="A13" s="1">
        <v>60000</v>
      </c>
      <c r="B13">
        <f t="shared" si="1"/>
        <v>15.9</v>
      </c>
      <c r="C13" s="1">
        <v>333.8</v>
      </c>
      <c r="D13">
        <f t="shared" si="2"/>
        <v>5.5234863323432277</v>
      </c>
      <c r="E13">
        <f t="shared" si="3"/>
        <v>2.9958058717795086E-3</v>
      </c>
      <c r="F13">
        <v>7.0000000000000001E-3</v>
      </c>
      <c r="G13">
        <f t="shared" si="4"/>
        <v>-2.1549019599857431</v>
      </c>
    </row>
    <row r="14" spans="1:7" x14ac:dyDescent="0.2">
      <c r="A14" s="1">
        <v>70000</v>
      </c>
      <c r="B14">
        <f t="shared" si="1"/>
        <v>16.100000000000001</v>
      </c>
      <c r="C14" s="1">
        <v>395.6</v>
      </c>
      <c r="D14">
        <f t="shared" si="2"/>
        <v>5.5972562829251418</v>
      </c>
      <c r="E14">
        <f t="shared" si="3"/>
        <v>2.5278058645096056E-3</v>
      </c>
      <c r="F14">
        <v>7.0000000000000001E-3</v>
      </c>
      <c r="G14">
        <f t="shared" si="4"/>
        <v>-2.1549019599857431</v>
      </c>
    </row>
    <row r="15" spans="1:7" x14ac:dyDescent="0.2">
      <c r="A15" s="1">
        <v>80000</v>
      </c>
      <c r="B15">
        <f t="shared" si="1"/>
        <v>16.3</v>
      </c>
      <c r="C15" s="1">
        <v>455.8</v>
      </c>
      <c r="D15">
        <f t="shared" si="2"/>
        <v>5.6587743208443566</v>
      </c>
      <c r="E15">
        <f t="shared" si="3"/>
        <v>2.1939447125932424E-3</v>
      </c>
      <c r="F15">
        <v>7.0000000000000001E-3</v>
      </c>
      <c r="G15">
        <f t="shared" si="4"/>
        <v>-2.1549019599857431</v>
      </c>
    </row>
    <row r="16" spans="1:7" x14ac:dyDescent="0.2">
      <c r="A16" s="1">
        <v>90000</v>
      </c>
      <c r="B16">
        <f t="shared" si="1"/>
        <v>16.5</v>
      </c>
      <c r="C16" s="1">
        <v>519.6</v>
      </c>
      <c r="D16">
        <f t="shared" si="2"/>
        <v>5.7156691424009907</v>
      </c>
      <c r="E16">
        <f t="shared" si="3"/>
        <v>1.9245573518090837E-3</v>
      </c>
      <c r="F16">
        <v>7.0000000000000001E-3</v>
      </c>
      <c r="G16">
        <f t="shared" si="4"/>
        <v>-2.1549019599857431</v>
      </c>
    </row>
    <row r="17" spans="1:7" x14ac:dyDescent="0.2">
      <c r="A17" s="1">
        <v>100000</v>
      </c>
      <c r="B17">
        <f t="shared" si="1"/>
        <v>16.600000000000001</v>
      </c>
      <c r="C17" s="1">
        <v>583</v>
      </c>
      <c r="D17">
        <f t="shared" si="2"/>
        <v>5.7656685547590145</v>
      </c>
      <c r="E17">
        <f t="shared" si="3"/>
        <v>1.7152658662092624E-3</v>
      </c>
      <c r="F17">
        <v>7.0000000000000001E-3</v>
      </c>
      <c r="G17">
        <f t="shared" si="4"/>
        <v>-2.1549019599857431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exact_match_pre</vt:lpstr>
      <vt:lpstr>exact_match_storage</vt:lpstr>
      <vt:lpstr>exact_match_comm</vt:lpstr>
      <vt:lpstr>Sheet2</vt:lpstr>
      <vt:lpstr>approx_match_10</vt:lpstr>
      <vt:lpstr>approx_match_30</vt:lpstr>
      <vt:lpstr>approx_match_50</vt:lpstr>
      <vt:lpstr>approx_match_20</vt:lpstr>
      <vt:lpstr>Sheet1</vt:lpstr>
      <vt:lpstr>approx_match_40</vt:lpstr>
      <vt:lpstr>approx_preprocess</vt:lpstr>
      <vt:lpstr>approx_match_pre</vt:lpstr>
      <vt:lpstr>approx_match_nopre_20</vt:lpstr>
      <vt:lpstr>approx_match_nopre_10</vt:lpstr>
      <vt:lpstr>exact_match_nopre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Chakraborti, Anrin</dc:creator>
  <cp:lastModifiedBy>Chakraborti, Anrin</cp:lastModifiedBy>
  <dcterms:created xsi:type="dcterms:W3CDTF">2025-05-26T23:16:37Z</dcterms:created>
  <dcterms:modified xsi:type="dcterms:W3CDTF">2026-01-15T09:46:25Z</dcterms:modified>
</cp:coreProperties>
</file>